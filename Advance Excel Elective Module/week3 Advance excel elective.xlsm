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20730" windowHeight="11160"/>
  </bookViews>
  <sheets>
    <sheet name="pivote tablle" sheetId="12" r:id="rId1"/>
    <sheet name="Pivote chart" sheetId="18" r:id="rId2"/>
    <sheet name="Pivot Table Practical 1 also su" sheetId="1" r:id="rId3"/>
    <sheet name="Double vlookup" sheetId="6" r:id="rId4"/>
    <sheet name="Sheet5" sheetId="8" r:id="rId5"/>
    <sheet name="Sheet4" sheetId="7" r:id="rId6"/>
    <sheet name="Financial Function" sheetId="9" r:id="rId7"/>
    <sheet name="SLN FUNCTION" sheetId="10" r:id="rId8"/>
    <sheet name="Pivote table options" sheetId="11" r:id="rId9"/>
    <sheet name="subtotal function" sheetId="16" r:id="rId10"/>
    <sheet name="conditional formatting" sheetId="17" r:id="rId11"/>
    <sheet name="Substitute function" sheetId="19" r:id="rId12"/>
  </sheets>
  <calcPr calcId="144525"/>
  <pivotCaches>
    <pivotCache cacheId="0" r:id="rId13"/>
    <pivotCache cacheId="1" r:id="rId14"/>
    <pivotCache cacheId="2" r:id="rId15"/>
    <pivotCache cacheId="3" r:id="rId1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" i="1" l="1"/>
  <c r="I1" i="1"/>
  <c r="J1" i="1"/>
  <c r="B2" i="19"/>
  <c r="E4" i="17"/>
  <c r="E5" i="17"/>
  <c r="E6" i="17" s="1"/>
  <c r="E7" i="17" s="1"/>
  <c r="E8" i="17" s="1"/>
  <c r="E9" i="17" s="1"/>
  <c r="E10" i="17" s="1"/>
  <c r="E11" i="17" s="1"/>
  <c r="E3" i="17"/>
  <c r="C3" i="17"/>
  <c r="D3" i="17" s="1"/>
  <c r="C4" i="17"/>
  <c r="D4" i="17" s="1"/>
  <c r="C5" i="17"/>
  <c r="D5" i="17" s="1"/>
  <c r="C6" i="17"/>
  <c r="D6" i="17" s="1"/>
  <c r="C7" i="17"/>
  <c r="D7" i="17" s="1"/>
  <c r="C8" i="17"/>
  <c r="D8" i="17" s="1"/>
  <c r="C9" i="17"/>
  <c r="D9" i="17" s="1"/>
  <c r="C10" i="17"/>
  <c r="D10" i="17" s="1"/>
  <c r="C11" i="17"/>
  <c r="D11" i="17" s="1"/>
  <c r="C2" i="17"/>
  <c r="J27" i="16"/>
  <c r="I27" i="16"/>
  <c r="H27" i="16"/>
  <c r="J17" i="16"/>
  <c r="J28" i="16" s="1"/>
  <c r="I17" i="16"/>
  <c r="I28" i="16" s="1"/>
  <c r="H17" i="16"/>
  <c r="H28" i="16" s="1"/>
  <c r="H3" i="10"/>
  <c r="H4" i="10"/>
  <c r="H5" i="10"/>
  <c r="H6" i="10"/>
  <c r="H2" i="10"/>
  <c r="G3" i="10"/>
  <c r="G4" i="10"/>
  <c r="G5" i="10"/>
  <c r="G6" i="10"/>
  <c r="G2" i="10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" i="9"/>
  <c r="N16" i="9"/>
  <c r="N17" i="9"/>
  <c r="N18" i="9"/>
  <c r="N19" i="9"/>
  <c r="N20" i="9"/>
  <c r="N21" i="9"/>
  <c r="N22" i="9"/>
  <c r="N23" i="9"/>
  <c r="L19" i="9"/>
  <c r="L20" i="9"/>
  <c r="L21" i="9"/>
  <c r="L22" i="9"/>
  <c r="L23" i="9"/>
  <c r="G23" i="9"/>
  <c r="J23" i="9"/>
  <c r="K23" i="9"/>
  <c r="M23" i="9"/>
  <c r="G22" i="9"/>
  <c r="J22" i="9"/>
  <c r="K22" i="9"/>
  <c r="M22" i="9"/>
  <c r="G21" i="9"/>
  <c r="J21" i="9"/>
  <c r="K21" i="9"/>
  <c r="M21" i="9"/>
  <c r="G20" i="9"/>
  <c r="J20" i="9"/>
  <c r="K20" i="9"/>
  <c r="M20" i="9"/>
  <c r="G19" i="9"/>
  <c r="J19" i="9"/>
  <c r="K19" i="9"/>
  <c r="M19" i="9"/>
  <c r="G18" i="9"/>
  <c r="J18" i="9"/>
  <c r="K18" i="9"/>
  <c r="M18" i="9"/>
  <c r="G17" i="9"/>
  <c r="J17" i="9"/>
  <c r="K17" i="9"/>
  <c r="M17" i="9"/>
  <c r="G16" i="9"/>
  <c r="J16" i="9"/>
  <c r="K16" i="9"/>
  <c r="M16" i="9"/>
  <c r="B17" i="9"/>
  <c r="B18" i="9"/>
  <c r="B19" i="9"/>
  <c r="B20" i="9"/>
  <c r="B21" i="9"/>
  <c r="B22" i="9"/>
  <c r="B23" i="9"/>
  <c r="D23" i="9"/>
  <c r="D22" i="9"/>
  <c r="D21" i="9"/>
  <c r="D20" i="9"/>
  <c r="D19" i="9"/>
  <c r="D18" i="9"/>
  <c r="D17" i="9"/>
  <c r="D16" i="9"/>
  <c r="B16" i="9"/>
  <c r="B15" i="9"/>
  <c r="D15" i="9"/>
  <c r="N3" i="9"/>
  <c r="N4" i="9"/>
  <c r="N5" i="9"/>
  <c r="N6" i="9"/>
  <c r="N7" i="9"/>
  <c r="N8" i="9"/>
  <c r="N9" i="9"/>
  <c r="N10" i="9"/>
  <c r="N11" i="9"/>
  <c r="N12" i="9"/>
  <c r="N13" i="9"/>
  <c r="N14" i="9"/>
  <c r="N15" i="9"/>
  <c r="L3" i="9"/>
  <c r="L8" i="9"/>
  <c r="L9" i="9"/>
  <c r="L13" i="9"/>
  <c r="L14" i="9"/>
  <c r="L15" i="9"/>
  <c r="L2" i="9"/>
  <c r="N2" i="9" s="1"/>
  <c r="M3" i="9"/>
  <c r="M4" i="9"/>
  <c r="M5" i="9"/>
  <c r="M6" i="9"/>
  <c r="M7" i="9"/>
  <c r="M8" i="9"/>
  <c r="M9" i="9"/>
  <c r="M10" i="9"/>
  <c r="M11" i="9"/>
  <c r="M12" i="9"/>
  <c r="M13" i="9"/>
  <c r="M14" i="9"/>
  <c r="M15" i="9"/>
  <c r="M2" i="9"/>
  <c r="K4" i="9"/>
  <c r="K5" i="9"/>
  <c r="K6" i="9"/>
  <c r="K7" i="9"/>
  <c r="K8" i="9"/>
  <c r="K9" i="9"/>
  <c r="K10" i="9"/>
  <c r="K11" i="9"/>
  <c r="K12" i="9"/>
  <c r="K13" i="9"/>
  <c r="K14" i="9"/>
  <c r="K15" i="9"/>
  <c r="K3" i="9"/>
  <c r="K2" i="9"/>
  <c r="J3" i="9"/>
  <c r="J4" i="9"/>
  <c r="J5" i="9"/>
  <c r="J6" i="9"/>
  <c r="J7" i="9"/>
  <c r="J8" i="9"/>
  <c r="J9" i="9"/>
  <c r="J10" i="9"/>
  <c r="J11" i="9"/>
  <c r="J12" i="9"/>
  <c r="J13" i="9"/>
  <c r="J14" i="9"/>
  <c r="J15" i="9"/>
  <c r="J2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2" i="9"/>
  <c r="B3" i="9"/>
  <c r="B4" i="9"/>
  <c r="B5" i="9"/>
  <c r="B6" i="9"/>
  <c r="B7" i="9"/>
  <c r="B8" i="9"/>
  <c r="B9" i="9"/>
  <c r="B10" i="9"/>
  <c r="B11" i="9"/>
  <c r="B12" i="9"/>
  <c r="B13" i="9"/>
  <c r="B14" i="9"/>
  <c r="B2" i="9"/>
  <c r="D3" i="9"/>
  <c r="D4" i="9"/>
  <c r="D5" i="9"/>
  <c r="D6" i="9"/>
  <c r="D7" i="9"/>
  <c r="D8" i="9"/>
  <c r="D9" i="9"/>
  <c r="D10" i="9"/>
  <c r="D11" i="9"/>
  <c r="D12" i="9"/>
  <c r="D13" i="9"/>
  <c r="D14" i="9"/>
  <c r="D2" i="9"/>
  <c r="H12" i="6"/>
  <c r="F12" i="6"/>
  <c r="G10" i="6"/>
  <c r="J4" i="6"/>
  <c r="J3" i="6"/>
  <c r="E4" i="6"/>
  <c r="E3" i="6"/>
  <c r="H4" i="6"/>
  <c r="H3" i="6"/>
  <c r="F2" i="17" l="1"/>
  <c r="F10" i="17"/>
  <c r="F8" i="17"/>
  <c r="F6" i="17"/>
  <c r="F4" i="17"/>
  <c r="F9" i="17"/>
  <c r="F7" i="17"/>
  <c r="F5" i="17"/>
  <c r="F11" i="17"/>
  <c r="F3" i="17"/>
</calcChain>
</file>

<file path=xl/sharedStrings.xml><?xml version="1.0" encoding="utf-8"?>
<sst xmlns="http://schemas.openxmlformats.org/spreadsheetml/2006/main" count="282" uniqueCount="133">
  <si>
    <t>INV_NO</t>
  </si>
  <si>
    <t>INV_DATE</t>
  </si>
  <si>
    <t>SALESREP_NO</t>
  </si>
  <si>
    <t>CUSTNO</t>
  </si>
  <si>
    <t>PRODE_CODE</t>
  </si>
  <si>
    <t>UNIT_PRICE</t>
  </si>
  <si>
    <t>QTY</t>
  </si>
  <si>
    <t>SALES_BEF_TAX</t>
  </si>
  <si>
    <t>SALES_TAX</t>
  </si>
  <si>
    <t>SALES_PLUS_TAX</t>
  </si>
  <si>
    <t>MONTH</t>
  </si>
  <si>
    <t>DHSDS</t>
  </si>
  <si>
    <t>January</t>
  </si>
  <si>
    <t>February</t>
  </si>
  <si>
    <t>Grand Total</t>
  </si>
  <si>
    <t>January Total</t>
  </si>
  <si>
    <t>February Total</t>
  </si>
  <si>
    <t>SRN</t>
  </si>
  <si>
    <t>WRO0315362</t>
  </si>
  <si>
    <t>Roll no</t>
  </si>
  <si>
    <t>WRO0515512</t>
  </si>
  <si>
    <t>WRO0462561</t>
  </si>
  <si>
    <t>WRO0352178</t>
  </si>
  <si>
    <t>WRO0549461</t>
  </si>
  <si>
    <t>Name</t>
  </si>
  <si>
    <t>Detail</t>
  </si>
  <si>
    <t>Details</t>
  </si>
  <si>
    <t>Mehul Lalwani</t>
  </si>
  <si>
    <t>Rohit Patel</t>
  </si>
  <si>
    <t xml:space="preserve">Imteyaz sheikh </t>
  </si>
  <si>
    <t>neha marchant</t>
  </si>
  <si>
    <t>Jahnvi dsoza</t>
  </si>
  <si>
    <t>Final</t>
  </si>
  <si>
    <t>Founder</t>
  </si>
  <si>
    <t>Direct Entry</t>
  </si>
  <si>
    <t>VLOOKUP Function</t>
  </si>
  <si>
    <t>Double Lookup</t>
  </si>
  <si>
    <t>diff sheet 
Double Lookup</t>
  </si>
  <si>
    <t>Date</t>
  </si>
  <si>
    <t>date</t>
  </si>
  <si>
    <t>name</t>
  </si>
  <si>
    <t>Rohit patel</t>
  </si>
  <si>
    <t>Apply text fun() 
on Vlookup</t>
  </si>
  <si>
    <t>Time</t>
  </si>
  <si>
    <t>Name With code</t>
  </si>
  <si>
    <t>Codes</t>
  </si>
  <si>
    <t>Pan No.</t>
  </si>
  <si>
    <t>PADMI R NAIR9</t>
  </si>
  <si>
    <t>ARUN TRIBHOVANBHAI SHE TH2</t>
  </si>
  <si>
    <t>SHANTILAL RAHULKUMAR VOHERA1</t>
  </si>
  <si>
    <t>SHAH DAHYABHAI MANEKBHAI1</t>
  </si>
  <si>
    <t>DAYALDAS G KHERAJANI4</t>
  </si>
  <si>
    <t>HASMUKHLAL BHULABHAI PATEL5</t>
  </si>
  <si>
    <t>PATEL RAMILABEN MANGALBHAI9</t>
  </si>
  <si>
    <t>DIPIKA KETAN SHAH4</t>
  </si>
  <si>
    <t>MAULIK VIMALESH DESAI7</t>
  </si>
  <si>
    <t>KANCHANBEN H SHAH1</t>
  </si>
  <si>
    <t>KINNER B SHAH1</t>
  </si>
  <si>
    <t>DR BIREN HARSHADBHAI GANDHI4</t>
  </si>
  <si>
    <t>SHAMIK HENANT DESAI1</t>
  </si>
  <si>
    <t>KRUTARTH PUSHKARRAY BHATT41</t>
  </si>
  <si>
    <t>NAME</t>
  </si>
  <si>
    <t>NEW CODE</t>
  </si>
  <si>
    <t>B_SALARY</t>
  </si>
  <si>
    <t>DA</t>
  </si>
  <si>
    <t>HR</t>
  </si>
  <si>
    <t>OTHER</t>
  </si>
  <si>
    <t>LOAN</t>
  </si>
  <si>
    <t>LOAN AMMOUNT</t>
  </si>
  <si>
    <t>INSTALLMENT</t>
  </si>
  <si>
    <t>PROFESTIONAL TAX</t>
  </si>
  <si>
    <t>NET SALARY</t>
  </si>
  <si>
    <t>DEPARTMENT</t>
  </si>
  <si>
    <t>Account</t>
  </si>
  <si>
    <t>Admin</t>
  </si>
  <si>
    <t>Finance</t>
  </si>
  <si>
    <t>Marketing</t>
  </si>
  <si>
    <t>Sales</t>
  </si>
  <si>
    <t>RATNAPRABHA B DAVE1</t>
  </si>
  <si>
    <t>ASIF H MOKAMJIWALA2</t>
  </si>
  <si>
    <t>VARSHA DHANVANT THACKER1</t>
  </si>
  <si>
    <t>MANSURI ILIYAS RASULBHAI7</t>
  </si>
  <si>
    <t>HASMUKH VADILAL DOSHI5</t>
  </si>
  <si>
    <t>JAYSHREE RAJESHBHAI SURATI6</t>
  </si>
  <si>
    <t>DIPIKA PARESH GAJJAR4</t>
  </si>
  <si>
    <t>VINODBHAI RAMANLAL GAJJAR HUF1</t>
  </si>
  <si>
    <t>ASSET</t>
  </si>
  <si>
    <t>AMOUNT</t>
  </si>
  <si>
    <t>USEFUL LIFE</t>
  </si>
  <si>
    <t>SALVAGE VALUE</t>
  </si>
  <si>
    <t>DEPRICIATION</t>
  </si>
  <si>
    <t>FURNITURE</t>
  </si>
  <si>
    <t>MACHINER</t>
  </si>
  <si>
    <t>OFFICE EQUIPMENT</t>
  </si>
  <si>
    <t>VEHICLE</t>
  </si>
  <si>
    <t>BUILDING</t>
  </si>
  <si>
    <t>SLN FUNC90</t>
  </si>
  <si>
    <t>SYD FUNCTION</t>
  </si>
  <si>
    <t>S.NO</t>
  </si>
  <si>
    <t>Sum of SALES_TAX</t>
  </si>
  <si>
    <t>Sum of SALES_PLUS_TAX</t>
  </si>
  <si>
    <t>Sum of SALES_BEF_TAX</t>
  </si>
  <si>
    <t>(All)</t>
  </si>
  <si>
    <t>Region</t>
  </si>
  <si>
    <t>Cetral</t>
  </si>
  <si>
    <t>Values</t>
  </si>
  <si>
    <t>Sum of Values2</t>
  </si>
  <si>
    <t>Sum of gst</t>
  </si>
  <si>
    <t>Roll No</t>
  </si>
  <si>
    <t>sub1</t>
  </si>
  <si>
    <t>sub2</t>
  </si>
  <si>
    <t>sub3</t>
  </si>
  <si>
    <t>Nidhi</t>
  </si>
  <si>
    <t>sudhma</t>
  </si>
  <si>
    <t>radhika</t>
  </si>
  <si>
    <t>adhya</t>
  </si>
  <si>
    <t>pinit</t>
  </si>
  <si>
    <t>rani</t>
  </si>
  <si>
    <t>haya</t>
  </si>
  <si>
    <t>khanama</t>
  </si>
  <si>
    <t>sonam</t>
  </si>
  <si>
    <t>total</t>
  </si>
  <si>
    <t>Sparkline</t>
  </si>
  <si>
    <t>Column</t>
  </si>
  <si>
    <t>Win/Loss</t>
  </si>
  <si>
    <t>Row Labels</t>
  </si>
  <si>
    <t>Sum of sub1</t>
  </si>
  <si>
    <t>Sum of sub2</t>
  </si>
  <si>
    <t>Sum of sub3</t>
  </si>
  <si>
    <t>Sum of total</t>
  </si>
  <si>
    <t>Subtotal fun()</t>
  </si>
  <si>
    <t>Cost data</t>
  </si>
  <si>
    <t>Substitude func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</si>
</sst>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8" formatCode="&quot;$&quot;#,##0.00_);[Red]\(&quot;$&quot;#,##0.00\)"/>
  </numFmts>
  <fonts count="6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2" tint="-0.74999237037263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0" borderId="0" xfId="0" pivotButton="1"/>
    <xf numFmtId="0" fontId="1" fillId="2" borderId="1" xfId="0" applyFont="1" applyFill="1" applyBorder="1"/>
    <xf numFmtId="0" fontId="0" fillId="0" borderId="1" xfId="0" applyBorder="1"/>
    <xf numFmtId="0" fontId="3" fillId="3" borderId="1" xfId="0" applyFont="1" applyFill="1" applyBorder="1"/>
    <xf numFmtId="14" fontId="0" fillId="0" borderId="1" xfId="0" applyNumberFormat="1" applyBorder="1"/>
    <xf numFmtId="0" fontId="1" fillId="0" borderId="1" xfId="0" applyFont="1" applyBorder="1"/>
    <xf numFmtId="20" fontId="0" fillId="0" borderId="1" xfId="0" applyNumberFormat="1" applyBorder="1"/>
    <xf numFmtId="0" fontId="3" fillId="3" borderId="4" xfId="0" applyFont="1" applyFill="1" applyBorder="1"/>
    <xf numFmtId="0" fontId="0" fillId="0" borderId="4" xfId="0" applyBorder="1"/>
    <xf numFmtId="1" fontId="0" fillId="0" borderId="4" xfId="0" applyNumberFormat="1" applyBorder="1"/>
    <xf numFmtId="8" fontId="0" fillId="0" borderId="0" xfId="0" applyNumberFormat="1"/>
    <xf numFmtId="2" fontId="5" fillId="0" borderId="4" xfId="0" applyNumberFormat="1" applyFont="1" applyBorder="1"/>
    <xf numFmtId="0" fontId="0" fillId="0" borderId="4" xfId="0" applyBorder="1" applyAlignment="1">
      <alignment horizontal="right" vertical="top"/>
    </xf>
    <xf numFmtId="0" fontId="4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3" fillId="4" borderId="9" xfId="0" applyFont="1" applyFill="1" applyBorder="1"/>
    <xf numFmtId="0" fontId="3" fillId="4" borderId="10" xfId="0" applyFont="1" applyFill="1" applyBorder="1"/>
    <xf numFmtId="0" fontId="3" fillId="4" borderId="11" xfId="0" applyFont="1" applyFill="1" applyBorder="1"/>
    <xf numFmtId="0" fontId="0" fillId="5" borderId="9" xfId="0" applyFill="1" applyBorder="1"/>
    <xf numFmtId="15" fontId="0" fillId="5" borderId="10" xfId="0" applyNumberFormat="1" applyFill="1" applyBorder="1"/>
    <xf numFmtId="0" fontId="0" fillId="5" borderId="10" xfId="0" applyFill="1" applyBorder="1" applyAlignment="1">
      <alignment horizontal="left"/>
    </xf>
    <xf numFmtId="0" fontId="0" fillId="5" borderId="10" xfId="0" applyFill="1" applyBorder="1"/>
    <xf numFmtId="0" fontId="0" fillId="5" borderId="10" xfId="0" applyFill="1" applyBorder="1" applyAlignment="1">
      <alignment horizontal="left" vertical="top"/>
    </xf>
    <xf numFmtId="2" fontId="0" fillId="5" borderId="10" xfId="0" applyNumberFormat="1" applyFill="1" applyBorder="1"/>
    <xf numFmtId="0" fontId="0" fillId="5" borderId="11" xfId="0" applyFill="1" applyBorder="1"/>
    <xf numFmtId="0" fontId="0" fillId="0" borderId="9" xfId="0" applyBorder="1"/>
    <xf numFmtId="15" fontId="0" fillId="0" borderId="10" xfId="0" applyNumberFormat="1" applyBorder="1"/>
    <xf numFmtId="0" fontId="0" fillId="0" borderId="10" xfId="0" applyBorder="1" applyAlignment="1">
      <alignment horizontal="left"/>
    </xf>
    <xf numFmtId="0" fontId="0" fillId="0" borderId="10" xfId="0" applyBorder="1"/>
    <xf numFmtId="0" fontId="0" fillId="0" borderId="10" xfId="0" applyBorder="1" applyAlignment="1">
      <alignment horizontal="left" vertical="top"/>
    </xf>
    <xf numFmtId="2" fontId="0" fillId="0" borderId="10" xfId="0" applyNumberFormat="1" applyBorder="1"/>
    <xf numFmtId="0" fontId="0" fillId="0" borderId="11" xfId="0" applyBorder="1"/>
    <xf numFmtId="15" fontId="0" fillId="0" borderId="7" xfId="0" applyNumberFormat="1" applyBorder="1"/>
    <xf numFmtId="0" fontId="0" fillId="0" borderId="7" xfId="0" applyBorder="1" applyAlignment="1">
      <alignment horizontal="left"/>
    </xf>
    <xf numFmtId="0" fontId="0" fillId="0" borderId="7" xfId="0" applyBorder="1" applyAlignment="1">
      <alignment horizontal="left" vertical="top"/>
    </xf>
    <xf numFmtId="2" fontId="0" fillId="0" borderId="7" xfId="0" applyNumberFormat="1" applyBorder="1"/>
    <xf numFmtId="16" fontId="0" fillId="0" borderId="0" xfId="0" applyNumberFormat="1"/>
    <xf numFmtId="16" fontId="0" fillId="0" borderId="1" xfId="0" applyNumberFormat="1" applyBorder="1"/>
    <xf numFmtId="0" fontId="3" fillId="4" borderId="0" xfId="0" applyFont="1" applyFill="1"/>
    <xf numFmtId="15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vertical="top"/>
    </xf>
    <xf numFmtId="2" fontId="0" fillId="0" borderId="0" xfId="0" applyNumberFormat="1"/>
    <xf numFmtId="0" fontId="1" fillId="0" borderId="0" xfId="0" applyFont="1"/>
    <xf numFmtId="2" fontId="1" fillId="5" borderId="11" xfId="0" applyNumberFormat="1" applyFont="1" applyFill="1" applyBorder="1"/>
    <xf numFmtId="0" fontId="1" fillId="0" borderId="12" xfId="0" applyFont="1" applyBorder="1"/>
    <xf numFmtId="0" fontId="1" fillId="0" borderId="3" xfId="0" applyFont="1" applyBorder="1"/>
    <xf numFmtId="0" fontId="0" fillId="0" borderId="3" xfId="0" applyBorder="1"/>
    <xf numFmtId="0" fontId="3" fillId="3" borderId="2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top" wrapText="1"/>
    </xf>
    <xf numFmtId="0" fontId="3" fillId="3" borderId="2" xfId="0" applyFont="1" applyFill="1" applyBorder="1" applyAlignment="1">
      <alignment horizontal="center" vertical="top"/>
    </xf>
    <xf numFmtId="0" fontId="3" fillId="3" borderId="2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25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2" formatCode="0.0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20" formatCode="d\-mmm\-yy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scheme val="minor"/>
      </font>
      <fill>
        <patternFill patternType="solid">
          <fgColor theme="4"/>
          <bgColor theme="4"/>
        </patternFill>
      </fill>
    </dxf>
    <dxf>
      <fill>
        <patternFill patternType="solid">
          <fgColor auto="1"/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[week3 Advance excel elective.xlsm]Pivote chart!PivotTable2</c:name>
    <c:fmtId val="17"/>
  </c:pivotSource>
  <c:chart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'Pivote chart'!$B$3</c:f>
              <c:strCache>
                <c:ptCount val="1"/>
                <c:pt idx="0">
                  <c:v>Sum of SALES_BEF_TAX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</c:dLbls>
          <c:cat>
            <c:strRef>
              <c:f>'Pivote chart'!$A$4:$A$6</c:f>
              <c:strCache>
                <c:ptCount val="2"/>
                <c:pt idx="0">
                  <c:v>January</c:v>
                </c:pt>
                <c:pt idx="1">
                  <c:v>February</c:v>
                </c:pt>
              </c:strCache>
            </c:strRef>
          </c:cat>
          <c:val>
            <c:numRef>
              <c:f>'Pivote chart'!$B$4:$B$6</c:f>
              <c:numCache>
                <c:formatCode>General</c:formatCode>
                <c:ptCount val="2"/>
                <c:pt idx="0">
                  <c:v>47123.33</c:v>
                </c:pt>
                <c:pt idx="1">
                  <c:v>36359.299999999996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0B0-46B8-8E58-C917676B4795}"/>
            </c:ext>
          </c:extLst>
        </c:ser>
        <c:ser>
          <c:idx val="1"/>
          <c:order val="1"/>
          <c:tx>
            <c:strRef>
              <c:f>'Pivote chart'!$C$3</c:f>
              <c:strCache>
                <c:ptCount val="1"/>
                <c:pt idx="0">
                  <c:v>Sum of SALES_TAX</c:v>
                </c:pt>
              </c:strCache>
            </c:strRef>
          </c:tx>
          <c:spPr>
            <a:solidFill>
              <a:schemeClr val="accent2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</c:dLbls>
          <c:cat>
            <c:strRef>
              <c:f>'Pivote chart'!$A$4:$A$6</c:f>
              <c:strCache>
                <c:ptCount val="2"/>
                <c:pt idx="0">
                  <c:v>January</c:v>
                </c:pt>
                <c:pt idx="1">
                  <c:v>February</c:v>
                </c:pt>
              </c:strCache>
            </c:strRef>
          </c:cat>
          <c:val>
            <c:numRef>
              <c:f>'Pivote chart'!$C$4:$C$6</c:f>
              <c:numCache>
                <c:formatCode>General</c:formatCode>
                <c:ptCount val="2"/>
                <c:pt idx="0">
                  <c:v>4821.18</c:v>
                </c:pt>
                <c:pt idx="1">
                  <c:v>3635.9300000000003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0B0-46B8-8E58-C917676B4795}"/>
            </c:ext>
          </c:extLst>
        </c:ser>
        <c:ser>
          <c:idx val="2"/>
          <c:order val="2"/>
          <c:tx>
            <c:strRef>
              <c:f>'Pivote chart'!$D$3</c:f>
              <c:strCache>
                <c:ptCount val="1"/>
                <c:pt idx="0">
                  <c:v>Sum of SALES_PLUS_TAX</c:v>
                </c:pt>
              </c:strCache>
            </c:strRef>
          </c:tx>
          <c:spPr>
            <a:solidFill>
              <a:schemeClr val="accent3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</c:dLbls>
          <c:cat>
            <c:strRef>
              <c:f>'Pivote chart'!$A$4:$A$6</c:f>
              <c:strCache>
                <c:ptCount val="2"/>
                <c:pt idx="0">
                  <c:v>January</c:v>
                </c:pt>
                <c:pt idx="1">
                  <c:v>February</c:v>
                </c:pt>
              </c:strCache>
            </c:strRef>
          </c:cat>
          <c:val>
            <c:numRef>
              <c:f>'Pivote chart'!$D$4:$D$6</c:f>
              <c:numCache>
                <c:formatCode>General</c:formatCode>
                <c:ptCount val="2"/>
                <c:pt idx="0">
                  <c:v>53087.57</c:v>
                </c:pt>
                <c:pt idx="1">
                  <c:v>39995.230000000003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10B0-46B8-8E58-C917676B47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7392128"/>
        <c:axId val="267393664"/>
      </c:barChart>
      <c:catAx>
        <c:axId val="267392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7393664"/>
        <c:crosses val="autoZero"/>
        <c:auto val="1"/>
        <c:lblAlgn val="ctr"/>
        <c:lblOffset val="100"/>
        <c:noMultiLvlLbl val="0"/>
      </c:catAx>
      <c:valAx>
        <c:axId val="26739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7392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[week3 Advance excel elective.xlsm]conditional formatting!PivotTable1</c:name>
    <c:fmtId val="0"/>
  </c:pivotSource>
  <c:chart>
    <c:autoTitleDeleted val="0"/>
    <c:pivotFmts>
      <c:pivotFmt>
        <c:idx val="0"/>
        <c:spPr>
          <a:gradFill rotWithShape="1">
            <a:gsLst>
              <a:gs pos="0">
                <a:schemeClr val="accent2">
                  <a:lumMod val="110000"/>
                  <a:satMod val="105000"/>
                  <a:tint val="67000"/>
                </a:schemeClr>
              </a:gs>
              <a:gs pos="50000">
                <a:schemeClr val="accent2">
                  <a:lumMod val="105000"/>
                  <a:satMod val="103000"/>
                  <a:tint val="73000"/>
                </a:schemeClr>
              </a:gs>
              <a:gs pos="100000">
                <a:schemeClr val="accent2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2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1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3"/>
        <c:spPr>
          <a:gradFill rotWithShape="1">
            <a:gsLst>
              <a:gs pos="0">
                <a:schemeClr val="accent2">
                  <a:lumMod val="60000"/>
                  <a:lumMod val="110000"/>
                  <a:satMod val="105000"/>
                  <a:tint val="67000"/>
                </a:schemeClr>
              </a:gs>
              <a:gs pos="50000">
                <a:schemeClr val="accent2">
                  <a:lumMod val="60000"/>
                  <a:lumMod val="105000"/>
                  <a:satMod val="103000"/>
                  <a:tint val="73000"/>
                </a:schemeClr>
              </a:gs>
              <a:gs pos="100000">
                <a:schemeClr val="accent2">
                  <a:lumMod val="60000"/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2">
                <a:lumMod val="60000"/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"/>
        <c:spPr>
          <a:gradFill rotWithShape="1">
            <a:gsLst>
              <a:gs pos="0">
                <a:schemeClr val="accent2">
                  <a:lumMod val="110000"/>
                  <a:satMod val="105000"/>
                  <a:tint val="67000"/>
                </a:schemeClr>
              </a:gs>
              <a:gs pos="50000">
                <a:schemeClr val="accent2">
                  <a:lumMod val="105000"/>
                  <a:satMod val="103000"/>
                  <a:tint val="73000"/>
                </a:schemeClr>
              </a:gs>
              <a:gs pos="100000">
                <a:schemeClr val="accent2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2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2">
                  <a:lumMod val="110000"/>
                  <a:satMod val="105000"/>
                  <a:tint val="67000"/>
                </a:schemeClr>
              </a:gs>
              <a:gs pos="50000">
                <a:schemeClr val="accent2">
                  <a:lumMod val="105000"/>
                  <a:satMod val="103000"/>
                  <a:tint val="73000"/>
                </a:schemeClr>
              </a:gs>
              <a:gs pos="100000">
                <a:schemeClr val="accent2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2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2">
                  <a:lumMod val="110000"/>
                  <a:satMod val="105000"/>
                  <a:tint val="67000"/>
                </a:schemeClr>
              </a:gs>
              <a:gs pos="50000">
                <a:schemeClr val="accent2">
                  <a:lumMod val="105000"/>
                  <a:satMod val="103000"/>
                  <a:tint val="73000"/>
                </a:schemeClr>
              </a:gs>
              <a:gs pos="100000">
                <a:schemeClr val="accent2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2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2">
                  <a:lumMod val="110000"/>
                  <a:satMod val="105000"/>
                  <a:tint val="67000"/>
                </a:schemeClr>
              </a:gs>
              <a:gs pos="50000">
                <a:schemeClr val="accent2">
                  <a:lumMod val="105000"/>
                  <a:satMod val="103000"/>
                  <a:tint val="73000"/>
                </a:schemeClr>
              </a:gs>
              <a:gs pos="100000">
                <a:schemeClr val="accent2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2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2">
                  <a:lumMod val="110000"/>
                  <a:satMod val="105000"/>
                  <a:tint val="67000"/>
                </a:schemeClr>
              </a:gs>
              <a:gs pos="50000">
                <a:schemeClr val="accent2">
                  <a:lumMod val="105000"/>
                  <a:satMod val="103000"/>
                  <a:tint val="73000"/>
                </a:schemeClr>
              </a:gs>
              <a:gs pos="100000">
                <a:schemeClr val="accent2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2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'conditional formatting'!$L$2</c:f>
              <c:strCache>
                <c:ptCount val="1"/>
                <c:pt idx="0">
                  <c:v>Sum of sub1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'conditional formatting'!$K$3:$K$12</c:f>
              <c:strCache>
                <c:ptCount val="9"/>
                <c:pt idx="0">
                  <c:v>adhya</c:v>
                </c:pt>
                <c:pt idx="1">
                  <c:v>haya</c:v>
                </c:pt>
                <c:pt idx="2">
                  <c:v>khanama</c:v>
                </c:pt>
                <c:pt idx="3">
                  <c:v>Nidhi</c:v>
                </c:pt>
                <c:pt idx="4">
                  <c:v>pinit</c:v>
                </c:pt>
                <c:pt idx="5">
                  <c:v>radhika</c:v>
                </c:pt>
                <c:pt idx="6">
                  <c:v>rani</c:v>
                </c:pt>
                <c:pt idx="7">
                  <c:v>sonam</c:v>
                </c:pt>
                <c:pt idx="8">
                  <c:v>sudhma</c:v>
                </c:pt>
              </c:strCache>
            </c:strRef>
          </c:cat>
          <c:val>
            <c:numRef>
              <c:f>'conditional formatting'!$L$3:$L$12</c:f>
              <c:numCache>
                <c:formatCode>General</c:formatCode>
                <c:ptCount val="9"/>
                <c:pt idx="0">
                  <c:v>28</c:v>
                </c:pt>
                <c:pt idx="1">
                  <c:v>46</c:v>
                </c:pt>
                <c:pt idx="2">
                  <c:v>60</c:v>
                </c:pt>
                <c:pt idx="3">
                  <c:v>67</c:v>
                </c:pt>
                <c:pt idx="4">
                  <c:v>53</c:v>
                </c:pt>
                <c:pt idx="5">
                  <c:v>15</c:v>
                </c:pt>
                <c:pt idx="6">
                  <c:v>94</c:v>
                </c:pt>
                <c:pt idx="7">
                  <c:v>68</c:v>
                </c:pt>
                <c:pt idx="8">
                  <c:v>86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438-47C4-9450-1BDA5CF801EF}"/>
            </c:ext>
          </c:extLst>
        </c:ser>
        <c:ser>
          <c:idx val="1"/>
          <c:order val="1"/>
          <c:tx>
            <c:strRef>
              <c:f>'conditional formatting'!$M$2</c:f>
              <c:strCache>
                <c:ptCount val="1"/>
                <c:pt idx="0">
                  <c:v>Sum of sub2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'conditional formatting'!$K$3:$K$12</c:f>
              <c:strCache>
                <c:ptCount val="9"/>
                <c:pt idx="0">
                  <c:v>adhya</c:v>
                </c:pt>
                <c:pt idx="1">
                  <c:v>haya</c:v>
                </c:pt>
                <c:pt idx="2">
                  <c:v>khanama</c:v>
                </c:pt>
                <c:pt idx="3">
                  <c:v>Nidhi</c:v>
                </c:pt>
                <c:pt idx="4">
                  <c:v>pinit</c:v>
                </c:pt>
                <c:pt idx="5">
                  <c:v>radhika</c:v>
                </c:pt>
                <c:pt idx="6">
                  <c:v>rani</c:v>
                </c:pt>
                <c:pt idx="7">
                  <c:v>sonam</c:v>
                </c:pt>
                <c:pt idx="8">
                  <c:v>sudhma</c:v>
                </c:pt>
              </c:strCache>
            </c:strRef>
          </c:cat>
          <c:val>
            <c:numRef>
              <c:f>'conditional formatting'!$M$3:$M$12</c:f>
              <c:numCache>
                <c:formatCode>General</c:formatCode>
                <c:ptCount val="9"/>
                <c:pt idx="0">
                  <c:v>38</c:v>
                </c:pt>
                <c:pt idx="1">
                  <c:v>56</c:v>
                </c:pt>
                <c:pt idx="2">
                  <c:v>70</c:v>
                </c:pt>
                <c:pt idx="3">
                  <c:v>900</c:v>
                </c:pt>
                <c:pt idx="4">
                  <c:v>63</c:v>
                </c:pt>
                <c:pt idx="5">
                  <c:v>25</c:v>
                </c:pt>
                <c:pt idx="6">
                  <c:v>104</c:v>
                </c:pt>
                <c:pt idx="7">
                  <c:v>88</c:v>
                </c:pt>
                <c:pt idx="8">
                  <c:v>96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438-47C4-9450-1BDA5CF801EF}"/>
            </c:ext>
          </c:extLst>
        </c:ser>
        <c:ser>
          <c:idx val="2"/>
          <c:order val="2"/>
          <c:tx>
            <c:strRef>
              <c:f>'conditional formatting'!$N$2</c:f>
              <c:strCache>
                <c:ptCount val="1"/>
                <c:pt idx="0">
                  <c:v>Sum of sub3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'conditional formatting'!$K$3:$K$12</c:f>
              <c:strCache>
                <c:ptCount val="9"/>
                <c:pt idx="0">
                  <c:v>adhya</c:v>
                </c:pt>
                <c:pt idx="1">
                  <c:v>haya</c:v>
                </c:pt>
                <c:pt idx="2">
                  <c:v>khanama</c:v>
                </c:pt>
                <c:pt idx="3">
                  <c:v>Nidhi</c:v>
                </c:pt>
                <c:pt idx="4">
                  <c:v>pinit</c:v>
                </c:pt>
                <c:pt idx="5">
                  <c:v>radhika</c:v>
                </c:pt>
                <c:pt idx="6">
                  <c:v>rani</c:v>
                </c:pt>
                <c:pt idx="7">
                  <c:v>sonam</c:v>
                </c:pt>
                <c:pt idx="8">
                  <c:v>sudhma</c:v>
                </c:pt>
              </c:strCache>
            </c:strRef>
          </c:cat>
          <c:val>
            <c:numRef>
              <c:f>'conditional formatting'!$N$3:$N$12</c:f>
              <c:numCache>
                <c:formatCode>General</c:formatCode>
                <c:ptCount val="9"/>
                <c:pt idx="0">
                  <c:v>400</c:v>
                </c:pt>
                <c:pt idx="1">
                  <c:v>700</c:v>
                </c:pt>
                <c:pt idx="2">
                  <c:v>800</c:v>
                </c:pt>
                <c:pt idx="3">
                  <c:v>100</c:v>
                </c:pt>
                <c:pt idx="4">
                  <c:v>500</c:v>
                </c:pt>
                <c:pt idx="5">
                  <c:v>300</c:v>
                </c:pt>
                <c:pt idx="6">
                  <c:v>600</c:v>
                </c:pt>
                <c:pt idx="7">
                  <c:v>1900</c:v>
                </c:pt>
                <c:pt idx="8">
                  <c:v>200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E438-47C4-9450-1BDA5CF801EF}"/>
            </c:ext>
          </c:extLst>
        </c:ser>
        <c:ser>
          <c:idx val="3"/>
          <c:order val="3"/>
          <c:tx>
            <c:strRef>
              <c:f>'conditional formatting'!$O$2</c:f>
              <c:strCache>
                <c:ptCount val="1"/>
                <c:pt idx="0">
                  <c:v>Sum of total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lumMod val="60000"/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'conditional formatting'!$K$3:$K$12</c:f>
              <c:strCache>
                <c:ptCount val="9"/>
                <c:pt idx="0">
                  <c:v>adhya</c:v>
                </c:pt>
                <c:pt idx="1">
                  <c:v>haya</c:v>
                </c:pt>
                <c:pt idx="2">
                  <c:v>khanama</c:v>
                </c:pt>
                <c:pt idx="3">
                  <c:v>Nidhi</c:v>
                </c:pt>
                <c:pt idx="4">
                  <c:v>pinit</c:v>
                </c:pt>
                <c:pt idx="5">
                  <c:v>radhika</c:v>
                </c:pt>
                <c:pt idx="6">
                  <c:v>rani</c:v>
                </c:pt>
                <c:pt idx="7">
                  <c:v>sonam</c:v>
                </c:pt>
                <c:pt idx="8">
                  <c:v>sudhma</c:v>
                </c:pt>
              </c:strCache>
            </c:strRef>
          </c:cat>
          <c:val>
            <c:numRef>
              <c:f>'conditional formatting'!$O$3:$O$12</c:f>
              <c:numCache>
                <c:formatCode>General</c:formatCode>
                <c:ptCount val="9"/>
                <c:pt idx="0">
                  <c:v>466</c:v>
                </c:pt>
                <c:pt idx="1">
                  <c:v>802</c:v>
                </c:pt>
                <c:pt idx="2">
                  <c:v>930</c:v>
                </c:pt>
                <c:pt idx="3">
                  <c:v>1067</c:v>
                </c:pt>
                <c:pt idx="4">
                  <c:v>616</c:v>
                </c:pt>
                <c:pt idx="5">
                  <c:v>340</c:v>
                </c:pt>
                <c:pt idx="6">
                  <c:v>798</c:v>
                </c:pt>
                <c:pt idx="7">
                  <c:v>2056</c:v>
                </c:pt>
                <c:pt idx="8">
                  <c:v>382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E438-47C4-9450-1BDA5CF80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48548224"/>
        <c:axId val="148562304"/>
      </c:barChart>
      <c:catAx>
        <c:axId val="14854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562304"/>
        <c:crosses val="autoZero"/>
        <c:auto val="1"/>
        <c:lblAlgn val="ctr"/>
        <c:lblOffset val="100"/>
        <c:noMultiLvlLbl val="0"/>
      </c:catAx>
      <c:valAx>
        <c:axId val="148562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548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9</xdr:row>
      <xdr:rowOff>38100</xdr:rowOff>
    </xdr:from>
    <xdr:to>
      <xdr:col>3</xdr:col>
      <xdr:colOff>590550</xdr:colOff>
      <xdr:row>21</xdr:row>
      <xdr:rowOff>4762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E22203B9-966B-4DFA-4750-460C1B808F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11</xdr:row>
      <xdr:rowOff>133349</xdr:rowOff>
    </xdr:from>
    <xdr:to>
      <xdr:col>8</xdr:col>
      <xdr:colOff>371475</xdr:colOff>
      <xdr:row>22</xdr:row>
      <xdr:rowOff>166686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D0B3D81A-D4D6-6263-AF42-80CB24B6E5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w" refreshedDate="45509.453312384256" createdVersion="8" refreshedVersion="8" minRefreshableVersion="3" recordCount="24">
  <cacheSource type="worksheet">
    <worksheetSource ref="A2:K26" sheet="Pivot Table Practical 1 also su"/>
  </cacheSource>
  <cacheFields count="12">
    <cacheField name="INV_NO" numFmtId="0">
      <sharedItems containsSemiMixedTypes="0" containsString="0" containsNumber="1" containsInteger="1" minValue="1000001" maxValue="1000024"/>
    </cacheField>
    <cacheField name="INV_DATE" numFmtId="15">
      <sharedItems containsSemiMixedTypes="0" containsNonDate="0" containsDate="1" containsString="0" minDate="2006-01-06T00:00:00" maxDate="2006-02-04T00:00:00"/>
    </cacheField>
    <cacheField name="SALESREP_NO" numFmtId="0">
      <sharedItems containsSemiMixedTypes="0" containsString="0" containsNumber="1" containsInteger="1" minValue="102" maxValue="127"/>
    </cacheField>
    <cacheField name="CUSTNO" numFmtId="0">
      <sharedItems containsSemiMixedTypes="0" containsString="0" containsNumber="1" containsInteger="1" minValue="10134" maxValue="92326"/>
    </cacheField>
    <cacheField name="PRODE_CODE" numFmtId="0">
      <sharedItems containsSemiMixedTypes="0" containsString="0" containsNumber="1" containsInteger="1" minValue="5" maxValue="5" count="1">
        <n v="5"/>
      </sharedItems>
    </cacheField>
    <cacheField name="UNIT_PRICE" numFmtId="0">
      <sharedItems containsSemiMixedTypes="0" containsString="0" containsNumber="1" minValue="5.99" maxValue="5.99" count="1">
        <n v="5.99"/>
      </sharedItems>
    </cacheField>
    <cacheField name="QTY" numFmtId="0">
      <sharedItems containsSemiMixedTypes="0" containsString="0" containsNumber="1" containsInteger="1" minValue="21" maxValue="3549"/>
    </cacheField>
    <cacheField name="SALES_BEF_TAX" numFmtId="0">
      <sharedItems containsMixedTypes="1" containsNumber="1" minValue="125.79" maxValue="21258.51"/>
    </cacheField>
    <cacheField name="SALES_TAX" numFmtId="0">
      <sharedItems containsSemiMixedTypes="0" containsString="0" containsNumber="1" minValue="12.58" maxValue="2125.85"/>
    </cacheField>
    <cacheField name="SALES_PLUS_TAX" numFmtId="0">
      <sharedItems containsSemiMixedTypes="0" containsString="0" containsNumber="1" minValue="138.37" maxValue="23384.36"/>
    </cacheField>
    <cacheField name="MONTH" numFmtId="0">
      <sharedItems count="2">
        <s v="January"/>
        <s v="February"/>
      </sharedItems>
    </cacheField>
    <cacheField name="gst" numFmtId="0" formula="SALES_PLUS_TAX+SALES_PLUS_TAX*0.05" databaseField="0"/>
  </cacheFields>
  <extLst>
    <ext xmlns:x14="http://schemas.microsoft.com/office/spreadsheetml/2009/9/main" uri="{725AE2AE-9491-48be-B2B4-4EB974FC3084}">
      <x14:pivotCacheDefinition pivotCacheId="169336558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w" refreshedDate="45509.453312500002" createdVersion="8" refreshedVersion="8" minRefreshableVersion="3" recordCount="10">
  <cacheSource type="worksheet">
    <worksheetSource ref="A1:C11" sheet="Pivote table options"/>
  </cacheSource>
  <cacheFields count="3">
    <cacheField name="Date" numFmtId="16">
      <sharedItems containsSemiMixedTypes="0" containsNonDate="0" containsDate="1" containsString="0" minDate="2024-01-02T00:00:00" maxDate="2024-01-12T00:00:00" count="10"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</sharedItems>
    </cacheField>
    <cacheField name="Region" numFmtId="0">
      <sharedItems count="1">
        <s v="Cetral"/>
      </sharedItems>
    </cacheField>
    <cacheField name="Values2" numFmtId="0">
      <sharedItems containsSemiMixedTypes="0" containsString="0" containsNumber="1" containsInteger="1" minValue="12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w" refreshedDate="45509.882792245371" createdVersion="8" refreshedVersion="8" minRefreshableVersion="3" recordCount="10">
  <cacheSource type="worksheet">
    <worksheetSource name="Table1"/>
  </cacheSource>
  <cacheFields count="9">
    <cacheField name="Roll No" numFmtId="0">
      <sharedItems containsSemiMixedTypes="0" containsString="0" containsNumber="1" containsInteger="1" minValue="1" maxValue="10"/>
    </cacheField>
    <cacheField name="Name" numFmtId="0">
      <sharedItems count="9">
        <s v="Nidhi"/>
        <s v="sudhma"/>
        <s v="radhika"/>
        <s v="adhya"/>
        <s v="pinit"/>
        <s v="rani"/>
        <s v="haya"/>
        <s v="khanama"/>
        <s v="sonam"/>
      </sharedItems>
    </cacheField>
    <cacheField name="sub1" numFmtId="0">
      <sharedItems containsSemiMixedTypes="0" containsString="0" containsNumber="1" containsInteger="1" minValue="15" maxValue="94"/>
    </cacheField>
    <cacheField name="sub2" numFmtId="0">
      <sharedItems containsSemiMixedTypes="0" containsString="0" containsNumber="1" containsInteger="1" minValue="25" maxValue="900"/>
    </cacheField>
    <cacheField name="sub3" numFmtId="0">
      <sharedItems containsSemiMixedTypes="0" containsString="0" containsNumber="1" containsInteger="1" minValue="100" maxValue="1000"/>
    </cacheField>
    <cacheField name="total" numFmtId="0">
      <sharedItems containsSemiMixedTypes="0" containsString="0" containsNumber="1" containsInteger="1" minValue="340" maxValue="1067"/>
    </cacheField>
    <cacheField name="Sparkline" numFmtId="0">
      <sharedItems containsNonDate="0" containsString="0" containsBlank="1"/>
    </cacheField>
    <cacheField name="Column" numFmtId="0">
      <sharedItems containsNonDate="0" containsString="0" containsBlank="1"/>
    </cacheField>
    <cacheField name="Win/Los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483795274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w" refreshedDate="45509.911958564815" createdVersion="8" refreshedVersion="8" minRefreshableVersion="3" recordCount="24">
  <cacheSource type="worksheet">
    <worksheetSource name="Table2"/>
  </cacheSource>
  <cacheFields count="11">
    <cacheField name="INV_NO" numFmtId="0">
      <sharedItems containsSemiMixedTypes="0" containsString="0" containsNumber="1" containsInteger="1" minValue="1000001" maxValue="1000024"/>
    </cacheField>
    <cacheField name="INV_DATE" numFmtId="15">
      <sharedItems containsSemiMixedTypes="0" containsNonDate="0" containsDate="1" containsString="0" minDate="2006-01-06T00:00:00" maxDate="2006-02-04T00:00:00"/>
    </cacheField>
    <cacheField name="SALESREP_NO" numFmtId="0">
      <sharedItems containsSemiMixedTypes="0" containsString="0" containsNumber="1" containsInteger="1" minValue="102" maxValue="127"/>
    </cacheField>
    <cacheField name="CUSTNO" numFmtId="0">
      <sharedItems containsSemiMixedTypes="0" containsString="0" containsNumber="1" containsInteger="1" minValue="10134" maxValue="92326"/>
    </cacheField>
    <cacheField name="PRODE_CODE" numFmtId="0">
      <sharedItems containsSemiMixedTypes="0" containsString="0" containsNumber="1" containsInteger="1" minValue="5" maxValue="5"/>
    </cacheField>
    <cacheField name="UNIT_PRICE" numFmtId="0">
      <sharedItems containsSemiMixedTypes="0" containsString="0" containsNumber="1" minValue="5.99" maxValue="5.99"/>
    </cacheField>
    <cacheField name="QTY" numFmtId="0">
      <sharedItems containsSemiMixedTypes="0" containsString="0" containsNumber="1" containsInteger="1" minValue="21" maxValue="3549"/>
    </cacheField>
    <cacheField name="SALES_BEF_TAX" numFmtId="0">
      <sharedItems containsMixedTypes="1" containsNumber="1" minValue="125.79" maxValue="21258.51"/>
    </cacheField>
    <cacheField name="SALES_TAX" numFmtId="0">
      <sharedItems containsSemiMixedTypes="0" containsString="0" containsNumber="1" minValue="12.58" maxValue="2125.85"/>
    </cacheField>
    <cacheField name="SALES_PLUS_TAX" numFmtId="0">
      <sharedItems containsSemiMixedTypes="0" containsString="0" containsNumber="1" minValue="138.37" maxValue="23384.36"/>
    </cacheField>
    <cacheField name="MONTH" numFmtId="0">
      <sharedItems count="2">
        <s v="January"/>
        <s v="February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n v="1000001"/>
    <d v="2006-01-06T00:00:00"/>
    <n v="111"/>
    <n v="41500"/>
    <x v="0"/>
    <x v="0"/>
    <n v="150"/>
    <n v="898.5"/>
    <n v="89.85"/>
    <n v="988.35"/>
    <x v="0"/>
  </r>
  <r>
    <n v="1000002"/>
    <d v="2006-01-09T00:00:00"/>
    <n v="125"/>
    <n v="30501"/>
    <x v="0"/>
    <x v="0"/>
    <n v="40"/>
    <n v="239.6"/>
    <n v="19"/>
    <n v="263.56"/>
    <x v="0"/>
  </r>
  <r>
    <n v="1000003"/>
    <d v="2006-01-09T00:00:00"/>
    <n v="116"/>
    <n v="92324"/>
    <x v="0"/>
    <x v="0"/>
    <n v="580"/>
    <n v="3474.2"/>
    <n v="347.42"/>
    <n v="3821.62"/>
    <x v="0"/>
  </r>
  <r>
    <n v="1000004"/>
    <d v="2006-01-10T00:00:00"/>
    <n v="103"/>
    <n v="41218"/>
    <x v="0"/>
    <x v="0"/>
    <n v="139"/>
    <n v="832.61"/>
    <n v="83.26"/>
    <n v="915.87"/>
    <x v="0"/>
  </r>
  <r>
    <n v="1000005"/>
    <d v="2006-01-16T00:00:00"/>
    <n v="117"/>
    <n v="92326"/>
    <x v="0"/>
    <x v="0"/>
    <n v="106"/>
    <n v="634.94000000000005"/>
    <n v="63.49"/>
    <n v="698.43"/>
    <x v="0"/>
  </r>
  <r>
    <n v="1000006"/>
    <d v="2006-01-16T00:00:00"/>
    <n v="112"/>
    <n v="60703"/>
    <x v="0"/>
    <x v="0"/>
    <n v="43"/>
    <n v="257.57"/>
    <n v="25.76"/>
    <n v="283.33"/>
    <x v="0"/>
  </r>
  <r>
    <n v="1000007"/>
    <d v="2006-01-16T00:00:00"/>
    <n v="124"/>
    <n v="20108"/>
    <x v="0"/>
    <x v="0"/>
    <n v="1570"/>
    <n v="9404.2999999999993"/>
    <n v="940.43"/>
    <n v="10344.73"/>
    <x v="0"/>
  </r>
  <r>
    <n v="1000008"/>
    <d v="2006-01-18T00:00:00"/>
    <n v="114"/>
    <n v="21098"/>
    <x v="0"/>
    <x v="0"/>
    <n v="2605"/>
    <n v="15603.95"/>
    <n v="1560.4"/>
    <n v="17164.349999999999"/>
    <x v="0"/>
  </r>
  <r>
    <n v="1000009"/>
    <d v="2006-01-23T00:00:00"/>
    <n v="122"/>
    <n v="40617"/>
    <x v="0"/>
    <x v="0"/>
    <n v="190"/>
    <s v="DHSDS"/>
    <n v="113.81"/>
    <n v="1251.9100000000001"/>
    <x v="0"/>
  </r>
  <r>
    <n v="1000010"/>
    <d v="2006-01-23T00:00:00"/>
    <n v="125"/>
    <n v="11702"/>
    <x v="0"/>
    <x v="0"/>
    <n v="80"/>
    <n v="479.2"/>
    <n v="47.92"/>
    <n v="527.12"/>
    <x v="0"/>
  </r>
  <r>
    <n v="1000011"/>
    <d v="2006-01-23T00:00:00"/>
    <n v="118"/>
    <n v="60300"/>
    <x v="0"/>
    <x v="0"/>
    <n v="100"/>
    <n v="599"/>
    <n v="59.9"/>
    <n v="658.9"/>
    <x v="0"/>
  </r>
  <r>
    <n v="1000012"/>
    <d v="2006-01-30T00:00:00"/>
    <n v="125"/>
    <n v="11400"/>
    <x v="0"/>
    <x v="0"/>
    <n v="40"/>
    <n v="239.6"/>
    <n v="23.96"/>
    <n v="263.56"/>
    <x v="0"/>
  </r>
  <r>
    <n v="1000013"/>
    <d v="2006-01-30T00:00:00"/>
    <n v="103"/>
    <n v="10134"/>
    <x v="0"/>
    <x v="0"/>
    <n v="1587"/>
    <n v="9506.1299999999992"/>
    <n v="950.61"/>
    <n v="10456.74"/>
    <x v="0"/>
  </r>
  <r>
    <n v="1000014"/>
    <d v="2006-01-30T00:00:00"/>
    <n v="107"/>
    <n v="40205"/>
    <x v="0"/>
    <x v="0"/>
    <n v="171"/>
    <n v="1024.29"/>
    <n v="102.43"/>
    <n v="1126.72"/>
    <x v="0"/>
  </r>
  <r>
    <n v="1000015"/>
    <d v="2006-01-30T00:00:00"/>
    <n v="104"/>
    <n v="21052"/>
    <x v="0"/>
    <x v="0"/>
    <n v="656"/>
    <n v="3929.44"/>
    <n v="392.94"/>
    <n v="4322.38"/>
    <x v="0"/>
  </r>
  <r>
    <n v="1000016"/>
    <d v="2006-02-01T00:00:00"/>
    <n v="125"/>
    <n v="25354"/>
    <x v="0"/>
    <x v="0"/>
    <n v="300"/>
    <n v="1797"/>
    <n v="179.7"/>
    <n v="1976.7"/>
    <x v="1"/>
  </r>
  <r>
    <n v="1000017"/>
    <d v="2006-02-02T00:00:00"/>
    <n v="102"/>
    <n v="21466"/>
    <x v="0"/>
    <x v="0"/>
    <n v="1200"/>
    <n v="7188"/>
    <n v="718.8"/>
    <n v="7906.8"/>
    <x v="1"/>
  </r>
  <r>
    <n v="1000018"/>
    <d v="2006-02-02T00:00:00"/>
    <n v="116"/>
    <n v="92324"/>
    <x v="0"/>
    <x v="0"/>
    <n v="141"/>
    <n v="844.59"/>
    <n v="84.46"/>
    <n v="929.05"/>
    <x v="1"/>
  </r>
  <r>
    <n v="1000019"/>
    <d v="2006-02-02T00:00:00"/>
    <n v="118"/>
    <n v="60300"/>
    <x v="0"/>
    <x v="0"/>
    <n v="110"/>
    <n v="658.9"/>
    <n v="65.89"/>
    <n v="724.79"/>
    <x v="1"/>
  </r>
  <r>
    <n v="1000020"/>
    <d v="2006-02-03T00:00:00"/>
    <n v="127"/>
    <n v="20981"/>
    <x v="0"/>
    <x v="0"/>
    <n v="560"/>
    <n v="3354.4"/>
    <n v="335.44"/>
    <n v="3689.84"/>
    <x v="1"/>
  </r>
  <r>
    <n v="1000021"/>
    <d v="2006-02-03T00:00:00"/>
    <n v="107"/>
    <n v="40308"/>
    <x v="0"/>
    <x v="0"/>
    <n v="3549"/>
    <n v="21258.51"/>
    <n v="2125.85"/>
    <n v="23384.36"/>
    <x v="1"/>
  </r>
  <r>
    <n v="1000022"/>
    <d v="2006-02-03T00:00:00"/>
    <n v="105"/>
    <n v="30608"/>
    <x v="0"/>
    <x v="0"/>
    <n v="50"/>
    <n v="299.5"/>
    <n v="29.95"/>
    <n v="329.45"/>
    <x v="1"/>
  </r>
  <r>
    <n v="1000023"/>
    <d v="2006-02-03T00:00:00"/>
    <n v="112"/>
    <n v="50008"/>
    <x v="0"/>
    <x v="0"/>
    <n v="139"/>
    <n v="832.61"/>
    <n v="83.26"/>
    <n v="915.87"/>
    <x v="1"/>
  </r>
  <r>
    <n v="1000024"/>
    <d v="2006-02-03T00:00:00"/>
    <n v="102"/>
    <n v="30704"/>
    <x v="0"/>
    <x v="0"/>
    <n v="21"/>
    <n v="125.79"/>
    <n v="12.58"/>
    <n v="138.37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x v="0"/>
    <n v="12"/>
  </r>
  <r>
    <x v="1"/>
    <x v="0"/>
    <n v="20"/>
  </r>
  <r>
    <x v="2"/>
    <x v="0"/>
    <n v="30"/>
  </r>
  <r>
    <x v="3"/>
    <x v="0"/>
    <n v="45"/>
  </r>
  <r>
    <x v="4"/>
    <x v="0"/>
    <n v="60"/>
  </r>
  <r>
    <x v="5"/>
    <x v="0"/>
    <n v="70"/>
  </r>
  <r>
    <x v="6"/>
    <x v="0"/>
    <n v="80"/>
  </r>
  <r>
    <x v="7"/>
    <x v="0"/>
    <n v="90"/>
  </r>
  <r>
    <x v="8"/>
    <x v="0"/>
    <n v="80"/>
  </r>
  <r>
    <x v="9"/>
    <x v="0"/>
    <n v="1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n v="1"/>
    <x v="0"/>
    <n v="67"/>
    <n v="900"/>
    <n v="100"/>
    <n v="1067"/>
    <m/>
    <m/>
    <m/>
  </r>
  <r>
    <n v="2"/>
    <x v="1"/>
    <n v="86"/>
    <n v="96"/>
    <n v="200"/>
    <n v="382"/>
    <m/>
    <m/>
    <m/>
  </r>
  <r>
    <n v="3"/>
    <x v="2"/>
    <n v="15"/>
    <n v="25"/>
    <n v="300"/>
    <n v="340"/>
    <m/>
    <m/>
    <m/>
  </r>
  <r>
    <n v="4"/>
    <x v="3"/>
    <n v="28"/>
    <n v="38"/>
    <n v="400"/>
    <n v="466"/>
    <m/>
    <m/>
    <m/>
  </r>
  <r>
    <n v="5"/>
    <x v="4"/>
    <n v="53"/>
    <n v="63"/>
    <n v="500"/>
    <n v="616"/>
    <m/>
    <m/>
    <m/>
  </r>
  <r>
    <n v="6"/>
    <x v="5"/>
    <n v="94"/>
    <n v="104"/>
    <n v="600"/>
    <n v="798"/>
    <m/>
    <m/>
    <m/>
  </r>
  <r>
    <n v="7"/>
    <x v="6"/>
    <n v="46"/>
    <n v="56"/>
    <n v="700"/>
    <n v="802"/>
    <m/>
    <m/>
    <m/>
  </r>
  <r>
    <n v="8"/>
    <x v="7"/>
    <n v="60"/>
    <n v="70"/>
    <n v="800"/>
    <n v="930"/>
    <m/>
    <m/>
    <m/>
  </r>
  <r>
    <n v="9"/>
    <x v="8"/>
    <n v="47"/>
    <n v="57"/>
    <n v="900"/>
    <n v="1004"/>
    <m/>
    <m/>
    <m/>
  </r>
  <r>
    <n v="10"/>
    <x v="8"/>
    <n v="21"/>
    <n v="31"/>
    <n v="1000"/>
    <n v="1052"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n v="1000001"/>
    <d v="2006-01-06T00:00:00"/>
    <n v="111"/>
    <n v="41500"/>
    <n v="5"/>
    <n v="5.99"/>
    <n v="150"/>
    <n v="898.5"/>
    <n v="89.85"/>
    <n v="988.35"/>
    <x v="0"/>
  </r>
  <r>
    <n v="1000002"/>
    <d v="2006-01-09T00:00:00"/>
    <n v="125"/>
    <n v="30501"/>
    <n v="5"/>
    <n v="5.99"/>
    <n v="40"/>
    <n v="239.6"/>
    <n v="19"/>
    <n v="263.56"/>
    <x v="0"/>
  </r>
  <r>
    <n v="1000003"/>
    <d v="2006-01-09T00:00:00"/>
    <n v="116"/>
    <n v="92324"/>
    <n v="5"/>
    <n v="5.99"/>
    <n v="580"/>
    <n v="3474.2"/>
    <n v="347.42"/>
    <n v="3821.62"/>
    <x v="0"/>
  </r>
  <r>
    <n v="1000004"/>
    <d v="2006-01-10T00:00:00"/>
    <n v="103"/>
    <n v="41218"/>
    <n v="5"/>
    <n v="5.99"/>
    <n v="139"/>
    <n v="832.61"/>
    <n v="83.26"/>
    <n v="915.87"/>
    <x v="0"/>
  </r>
  <r>
    <n v="1000005"/>
    <d v="2006-01-16T00:00:00"/>
    <n v="117"/>
    <n v="92326"/>
    <n v="5"/>
    <n v="5.99"/>
    <n v="106"/>
    <n v="634.94000000000005"/>
    <n v="63.49"/>
    <n v="698.43"/>
    <x v="0"/>
  </r>
  <r>
    <n v="1000006"/>
    <d v="2006-01-16T00:00:00"/>
    <n v="112"/>
    <n v="60703"/>
    <n v="5"/>
    <n v="5.99"/>
    <n v="43"/>
    <n v="257.57"/>
    <n v="25.76"/>
    <n v="283.33"/>
    <x v="0"/>
  </r>
  <r>
    <n v="1000007"/>
    <d v="2006-01-16T00:00:00"/>
    <n v="124"/>
    <n v="20108"/>
    <n v="5"/>
    <n v="5.99"/>
    <n v="1570"/>
    <n v="9404.2999999999993"/>
    <n v="940.43"/>
    <n v="10344.73"/>
    <x v="0"/>
  </r>
  <r>
    <n v="1000008"/>
    <d v="2006-01-18T00:00:00"/>
    <n v="114"/>
    <n v="21098"/>
    <n v="5"/>
    <n v="5.99"/>
    <n v="2605"/>
    <n v="15603.95"/>
    <n v="1560.4"/>
    <n v="17164.349999999999"/>
    <x v="0"/>
  </r>
  <r>
    <n v="1000009"/>
    <d v="2006-01-23T00:00:00"/>
    <n v="122"/>
    <n v="40617"/>
    <n v="5"/>
    <n v="5.99"/>
    <n v="190"/>
    <s v="DHSDS"/>
    <n v="113.81"/>
    <n v="1251.9100000000001"/>
    <x v="0"/>
  </r>
  <r>
    <n v="1000010"/>
    <d v="2006-01-23T00:00:00"/>
    <n v="125"/>
    <n v="11702"/>
    <n v="5"/>
    <n v="5.99"/>
    <n v="80"/>
    <n v="479.2"/>
    <n v="47.92"/>
    <n v="527.12"/>
    <x v="0"/>
  </r>
  <r>
    <n v="1000011"/>
    <d v="2006-01-23T00:00:00"/>
    <n v="118"/>
    <n v="60300"/>
    <n v="5"/>
    <n v="5.99"/>
    <n v="100"/>
    <n v="599"/>
    <n v="59.9"/>
    <n v="658.9"/>
    <x v="0"/>
  </r>
  <r>
    <n v="1000012"/>
    <d v="2006-01-30T00:00:00"/>
    <n v="125"/>
    <n v="11400"/>
    <n v="5"/>
    <n v="5.99"/>
    <n v="40"/>
    <n v="239.6"/>
    <n v="23.96"/>
    <n v="263.56"/>
    <x v="0"/>
  </r>
  <r>
    <n v="1000013"/>
    <d v="2006-01-30T00:00:00"/>
    <n v="103"/>
    <n v="10134"/>
    <n v="5"/>
    <n v="5.99"/>
    <n v="1587"/>
    <n v="9506.1299999999992"/>
    <n v="950.61"/>
    <n v="10456.74"/>
    <x v="0"/>
  </r>
  <r>
    <n v="1000014"/>
    <d v="2006-01-30T00:00:00"/>
    <n v="107"/>
    <n v="40205"/>
    <n v="5"/>
    <n v="5.99"/>
    <n v="171"/>
    <n v="1024.29"/>
    <n v="102.43"/>
    <n v="1126.72"/>
    <x v="0"/>
  </r>
  <r>
    <n v="1000015"/>
    <d v="2006-01-30T00:00:00"/>
    <n v="104"/>
    <n v="21052"/>
    <n v="5"/>
    <n v="5.99"/>
    <n v="656"/>
    <n v="3929.44"/>
    <n v="392.94"/>
    <n v="4322.38"/>
    <x v="0"/>
  </r>
  <r>
    <n v="1000016"/>
    <d v="2006-02-01T00:00:00"/>
    <n v="125"/>
    <n v="25354"/>
    <n v="5"/>
    <n v="5.99"/>
    <n v="300"/>
    <n v="1797"/>
    <n v="179.7"/>
    <n v="1976.7"/>
    <x v="1"/>
  </r>
  <r>
    <n v="1000017"/>
    <d v="2006-02-02T00:00:00"/>
    <n v="102"/>
    <n v="21466"/>
    <n v="5"/>
    <n v="5.99"/>
    <n v="1200"/>
    <n v="7188"/>
    <n v="718.8"/>
    <n v="7906.8"/>
    <x v="1"/>
  </r>
  <r>
    <n v="1000018"/>
    <d v="2006-02-02T00:00:00"/>
    <n v="116"/>
    <n v="92324"/>
    <n v="5"/>
    <n v="5.99"/>
    <n v="141"/>
    <n v="844.59"/>
    <n v="84.46"/>
    <n v="929.05"/>
    <x v="1"/>
  </r>
  <r>
    <n v="1000019"/>
    <d v="2006-02-02T00:00:00"/>
    <n v="118"/>
    <n v="60300"/>
    <n v="5"/>
    <n v="5.99"/>
    <n v="110"/>
    <n v="658.9"/>
    <n v="65.89"/>
    <n v="724.79"/>
    <x v="1"/>
  </r>
  <r>
    <n v="1000020"/>
    <d v="2006-02-03T00:00:00"/>
    <n v="127"/>
    <n v="20981"/>
    <n v="5"/>
    <n v="5.99"/>
    <n v="560"/>
    <n v="3354.4"/>
    <n v="335.44"/>
    <n v="3689.84"/>
    <x v="1"/>
  </r>
  <r>
    <n v="1000021"/>
    <d v="2006-02-03T00:00:00"/>
    <n v="107"/>
    <n v="40308"/>
    <n v="5"/>
    <n v="5.99"/>
    <n v="3549"/>
    <n v="21258.51"/>
    <n v="2125.85"/>
    <n v="23384.36"/>
    <x v="1"/>
  </r>
  <r>
    <n v="1000022"/>
    <d v="2006-02-03T00:00:00"/>
    <n v="105"/>
    <n v="30608"/>
    <n v="5"/>
    <n v="5.99"/>
    <n v="50"/>
    <n v="299.5"/>
    <n v="29.95"/>
    <n v="329.45"/>
    <x v="1"/>
  </r>
  <r>
    <n v="1000023"/>
    <d v="2006-02-03T00:00:00"/>
    <n v="112"/>
    <n v="50008"/>
    <n v="5"/>
    <n v="5.99"/>
    <n v="139"/>
    <n v="832.61"/>
    <n v="83.26"/>
    <n v="915.87"/>
    <x v="1"/>
  </r>
  <r>
    <n v="1000024"/>
    <d v="2006-02-03T00:00:00"/>
    <n v="102"/>
    <n v="30704"/>
    <n v="5"/>
    <n v="5.99"/>
    <n v="21"/>
    <n v="125.79"/>
    <n v="12.58"/>
    <n v="138.37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outline="1" outlineData="1" compactData="0" multipleFieldFilters="0">
  <location ref="A4:E7" firstHeaderRow="0" firstDataRow="1" firstDataCol="1" rowPageCount="1" colPageCount="1"/>
  <pivotFields count="12">
    <pivotField compact="0" showAll="0" insertBlankRow="1"/>
    <pivotField compact="0" numFmtId="15" showAll="0" insertBlankRow="1"/>
    <pivotField compact="0" showAll="0" insertBlankRow="1"/>
    <pivotField compact="0" multipleItemSelectionAllowed="1" showAll="0" insertBlankRow="1"/>
    <pivotField axis="axisPage" compact="0" showAll="0" insertBlankRow="1">
      <items count="2">
        <item x="0"/>
        <item t="default"/>
      </items>
    </pivotField>
    <pivotField compact="0" showAll="0" insertBlankRow="1">
      <items count="2">
        <item x="0"/>
        <item t="default"/>
      </items>
    </pivotField>
    <pivotField compact="0" showAll="0" insertBlankRow="1"/>
    <pivotField dataField="1" compact="0" showAll="0" insertBlankRow="1"/>
    <pivotField dataField="1" compact="0" showAll="0" insertBlankRow="1"/>
    <pivotField dataField="1" compact="0" showAll="0" insertBlankRow="1"/>
    <pivotField axis="axisRow" compact="0" showAll="0" insertBlankRow="1">
      <items count="3">
        <item x="0"/>
        <item x="1"/>
        <item t="default"/>
      </items>
    </pivotField>
    <pivotField dataField="1" compact="0" dragToRow="0" dragToCol="0" dragToPage="0" showAll="0" insertBlankRow="1" defaultSubtotal="0"/>
  </pivotFields>
  <rowFields count="1">
    <field x="10"/>
  </rowFields>
  <rowItems count="3">
    <i>
      <x/>
    </i>
    <i>
      <x v="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4" hier="-1"/>
  </pageFields>
  <dataFields count="4">
    <dataField name="Sum of SALES_BEF_TAX" fld="7" baseField="10" baseItem="0"/>
    <dataField name="Sum of SALES_TAX" fld="8" baseField="0" baseItem="0"/>
    <dataField name="Sum of SALES_PLUS_TAX" fld="9" baseField="10" baseItem="0"/>
    <dataField name="Sum of gst" fld="11" baseField="0" baseItem="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InsertBlankRowDefault="1"/>
    </ext>
  </extLst>
</pivotTableDefinition>
</file>

<file path=xl/pivotTables/pivotTable2.xml><?xml version="1.0" encoding="utf-8"?>
<pivotTableDefinition xmlns="http://schemas.openxmlformats.org/spreadsheetml/2006/main" name="PivotTable2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1">
  <location ref="A3:D6" firstHeaderRow="0" firstDataRow="1" firstDataCol="1"/>
  <pivotFields count="11">
    <pivotField showAll="0"/>
    <pivotField numFmtId="15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axis="axisRow" showAll="0">
      <items count="3">
        <item x="0"/>
        <item x="1"/>
        <item t="default"/>
      </items>
    </pivotField>
  </pivotFields>
  <rowFields count="1">
    <field x="10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SALES_BEF_TAX" fld="7" baseField="0" baseItem="0"/>
    <dataField name="Sum of SALES_TAX" fld="8" baseField="0" baseItem="0"/>
    <dataField name="Sum of SALES_PLUS_TAX" fld="9" baseField="0" baseItem="0"/>
  </dataFields>
  <chartFormats count="3">
    <chartFormat chart="1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gridDropZones="1" multipleFieldFilters="0">
  <location ref="H2:J14" firstHeaderRow="1" firstDataRow="2" firstDataCol="1"/>
  <pivotFields count="3">
    <pivotField axis="axisRow" compact="0" numFmtId="16" outline="0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axis="axisCol" compact="0" outline="0" showAll="0">
      <items count="2">
        <item x="0"/>
        <item t="default"/>
      </items>
    </pivotField>
    <pivotField dataField="1" compact="0" outline="0" showAl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1"/>
  </colFields>
  <colItems count="2">
    <i>
      <x/>
    </i>
    <i t="grand">
      <x/>
    </i>
  </colItems>
  <dataFields count="1">
    <dataField name="Sum of Values2" fld="2" baseField="0" baseItem="0"/>
  </dataFields>
  <conditionalFormats count="1">
    <conditionalFormat priority="1">
      <pivotAreas count="2">
        <pivotArea type="data" collapsedLevelsAreSubtotals="1" fieldPosition="0">
          <references count="3">
            <reference field="4294967294" count="1" selected="0">
              <x v="0"/>
            </reference>
            <reference field="0" count="7">
              <x v="0"/>
              <x v="1"/>
              <x v="2"/>
              <x v="3"/>
              <x v="4"/>
              <x v="5"/>
              <x v="6"/>
            </reference>
            <reference field="1" count="1" selected="0">
              <x v="0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0" count="1">
              <x v="8"/>
            </reference>
            <reference field="1" count="1" selected="0">
              <x v="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1" cacheId="2" dataPosition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K2:O12" firstHeaderRow="0" firstDataRow="1" firstDataCol="1"/>
  <pivotFields count="9">
    <pivotField showAll="0"/>
    <pivotField axis="axisRow" showAll="0">
      <items count="10">
        <item x="3"/>
        <item x="6"/>
        <item x="7"/>
        <item x="0"/>
        <item x="4"/>
        <item x="2"/>
        <item x="5"/>
        <item x="8"/>
        <item x="1"/>
        <item t="default"/>
      </items>
    </pivotField>
    <pivotField dataField="1" showAll="0"/>
    <pivotField dataField="1" showAll="0"/>
    <pivotField dataField="1" showAll="0"/>
    <pivotField dataField="1" showAll="0"/>
    <pivotField showAll="0"/>
    <pivotField showAll="0"/>
    <pivotField showAll="0"/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sub1" fld="2" baseField="0" baseItem="0"/>
    <dataField name="Sum of sub2" fld="3" baseField="0" baseItem="0"/>
    <dataField name="Sum of sub3" fld="4" baseField="0" baseItem="0"/>
    <dataField name="Sum of total" fld="5" baseField="0" baseItem="0"/>
  </dataFields>
  <chartFormats count="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Table2" displayName="Table2" ref="A2:K26" totalsRowShown="0" headerRowDxfId="21" dataDxfId="20" tableBorderDxfId="19">
  <tableColumns count="11">
    <tableColumn id="1" name="INV_NO" dataDxfId="18"/>
    <tableColumn id="2" name="INV_DATE" dataDxfId="17"/>
    <tableColumn id="3" name="SALESREP_NO" dataDxfId="16"/>
    <tableColumn id="4" name="CUSTNO" dataDxfId="15"/>
    <tableColumn id="5" name="PRODE_CODE" dataDxfId="14"/>
    <tableColumn id="6" name="UNIT_PRICE" dataDxfId="13"/>
    <tableColumn id="7" name="QTY" dataDxfId="12"/>
    <tableColumn id="8" name="SALES_BEF_TAX" dataDxfId="11"/>
    <tableColumn id="9" name="SALES_TAX" dataDxfId="10"/>
    <tableColumn id="10" name="SALES_PLUS_TAX" dataDxfId="9"/>
    <tableColumn id="11" name="MONTH" dataDxf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A1:I11" totalsRowShown="0" headerRowDxfId="6" tableBorderDxfId="5">
  <autoFilter ref="A1:I11"/>
  <tableColumns count="9">
    <tableColumn id="1" name="Roll No" dataDxfId="4"/>
    <tableColumn id="2" name="Name" dataDxfId="3"/>
    <tableColumn id="3" name="sub1" dataDxfId="2">
      <calculatedColumnFormula>RANDBETWEEN(1,100)</calculatedColumnFormula>
    </tableColumn>
    <tableColumn id="4" name="sub2" dataDxfId="1">
      <calculatedColumnFormula>C2+10</calculatedColumnFormula>
    </tableColumn>
    <tableColumn id="5" name="sub3" dataDxfId="0">
      <calculatedColumnFormula>E1+100</calculatedColumnFormula>
    </tableColumn>
    <tableColumn id="6" name="total">
      <calculatedColumnFormula>SUM(C2:E2)</calculatedColumnFormula>
    </tableColumn>
    <tableColumn id="7" name="Sparkline"/>
    <tableColumn id="8" name="Column"/>
    <tableColumn id="9" name="Win/Los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xmlns="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7"/>
  <sheetViews>
    <sheetView tabSelected="1" workbookViewId="0">
      <selection activeCell="B11" sqref="B11"/>
    </sheetView>
  </sheetViews>
  <sheetFormatPr defaultRowHeight="14.25"/>
  <cols>
    <col min="1" max="1" width="12.75" bestFit="1" customWidth="1"/>
    <col min="2" max="2" width="22" bestFit="1" customWidth="1"/>
    <col min="3" max="3" width="17.75" bestFit="1" customWidth="1"/>
    <col min="4" max="4" width="23.25" bestFit="1" customWidth="1"/>
    <col min="5" max="7" width="11" bestFit="1" customWidth="1"/>
  </cols>
  <sheetData>
    <row r="2" spans="1:5">
      <c r="A2" s="1" t="s">
        <v>4</v>
      </c>
      <c r="B2" t="s">
        <v>102</v>
      </c>
    </row>
    <row r="4" spans="1:5">
      <c r="A4" s="1" t="s">
        <v>10</v>
      </c>
      <c r="B4" t="s">
        <v>101</v>
      </c>
      <c r="C4" t="s">
        <v>99</v>
      </c>
      <c r="D4" t="s">
        <v>100</v>
      </c>
      <c r="E4" t="s">
        <v>107</v>
      </c>
    </row>
    <row r="5" spans="1:5">
      <c r="A5" t="s">
        <v>12</v>
      </c>
      <c r="B5">
        <v>47123.33</v>
      </c>
      <c r="C5">
        <v>4821.18</v>
      </c>
      <c r="D5">
        <v>53087.57</v>
      </c>
      <c r="E5">
        <v>55741.948499999999</v>
      </c>
    </row>
    <row r="6" spans="1:5">
      <c r="A6" t="s">
        <v>13</v>
      </c>
      <c r="B6">
        <v>36359.299999999996</v>
      </c>
      <c r="C6">
        <v>3635.9300000000003</v>
      </c>
      <c r="D6">
        <v>39995.230000000003</v>
      </c>
      <c r="E6">
        <v>41994.991500000004</v>
      </c>
    </row>
    <row r="7" spans="1:5">
      <c r="A7" t="s">
        <v>14</v>
      </c>
      <c r="B7">
        <v>83482.63</v>
      </c>
      <c r="C7">
        <v>8457.11</v>
      </c>
      <c r="D7">
        <v>93082.8</v>
      </c>
      <c r="E7">
        <v>97736.939999999988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D6"/>
  <sheetViews>
    <sheetView workbookViewId="0">
      <selection activeCell="D7" sqref="D7"/>
    </sheetView>
  </sheetViews>
  <sheetFormatPr defaultRowHeight="14.25"/>
  <cols>
    <col min="1" max="1" width="13.375" bestFit="1" customWidth="1"/>
    <col min="2" max="2" width="22" bestFit="1" customWidth="1"/>
    <col min="3" max="3" width="17.75" bestFit="1" customWidth="1"/>
    <col min="4" max="4" width="23.25" bestFit="1" customWidth="1"/>
  </cols>
  <sheetData>
    <row r="3" spans="1:4">
      <c r="A3" s="1" t="s">
        <v>125</v>
      </c>
      <c r="B3" t="s">
        <v>101</v>
      </c>
      <c r="C3" t="s">
        <v>99</v>
      </c>
      <c r="D3" t="s">
        <v>100</v>
      </c>
    </row>
    <row r="4" spans="1:4">
      <c r="A4" s="45" t="s">
        <v>12</v>
      </c>
      <c r="B4">
        <v>47123.33</v>
      </c>
      <c r="C4">
        <v>4821.18</v>
      </c>
      <c r="D4">
        <v>53087.57</v>
      </c>
    </row>
    <row r="5" spans="1:4">
      <c r="A5" s="45" t="s">
        <v>13</v>
      </c>
      <c r="B5">
        <v>36359.299999999996</v>
      </c>
      <c r="C5">
        <v>3635.9300000000003</v>
      </c>
      <c r="D5">
        <v>39995.230000000003</v>
      </c>
    </row>
    <row r="6" spans="1:4">
      <c r="A6" s="45" t="s">
        <v>14</v>
      </c>
      <c r="B6">
        <v>83482.63</v>
      </c>
      <c r="C6">
        <v>8457.11</v>
      </c>
      <c r="D6">
        <v>93082.8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26"/>
  <sheetViews>
    <sheetView topLeftCell="A10" workbookViewId="0">
      <selection activeCell="J11" sqref="J11"/>
    </sheetView>
  </sheetViews>
  <sheetFormatPr defaultRowHeight="14.25"/>
  <cols>
    <col min="1" max="1" width="8" bestFit="1" customWidth="1"/>
    <col min="2" max="2" width="9.75" bestFit="1" customWidth="1"/>
    <col min="3" max="3" width="14" bestFit="1" customWidth="1"/>
    <col min="4" max="4" width="8.75" bestFit="1" customWidth="1"/>
    <col min="5" max="5" width="13.875" bestFit="1" customWidth="1"/>
    <col min="6" max="6" width="13.125" bestFit="1" customWidth="1"/>
    <col min="7" max="7" width="5" bestFit="1" customWidth="1"/>
    <col min="8" max="8" width="15" bestFit="1" customWidth="1"/>
    <col min="9" max="9" width="10.75" bestFit="1" customWidth="1"/>
    <col min="10" max="10" width="16.25" bestFit="1" customWidth="1"/>
    <col min="11" max="11" width="8.75" bestFit="1" customWidth="1"/>
  </cols>
  <sheetData>
    <row r="1" spans="1:11">
      <c r="F1" t="s">
        <v>130</v>
      </c>
      <c r="H1" s="47">
        <f>SUBTOTAL(9,Table2[[#All],[SALES_BEF_TAX]])</f>
        <v>83482.62999999999</v>
      </c>
      <c r="I1" s="47">
        <f>SUBTOTAL(9,Table2[[#All],[SALES_TAX]])</f>
        <v>8457.11</v>
      </c>
      <c r="J1" s="47">
        <f>SUBTOTAL(9,Table2[[#All],[SALES_PLUS_TAX]])</f>
        <v>93082.799999999988</v>
      </c>
    </row>
    <row r="2" spans="1:11">
      <c r="A2" s="43" t="s">
        <v>0</v>
      </c>
      <c r="B2" s="43" t="s">
        <v>1</v>
      </c>
      <c r="C2" s="43" t="s">
        <v>2</v>
      </c>
      <c r="D2" s="43" t="s">
        <v>3</v>
      </c>
      <c r="E2" s="43" t="s">
        <v>4</v>
      </c>
      <c r="F2" s="43" t="s">
        <v>5</v>
      </c>
      <c r="G2" s="43" t="s">
        <v>6</v>
      </c>
      <c r="H2" s="43" t="s">
        <v>7</v>
      </c>
      <c r="I2" s="43" t="s">
        <v>8</v>
      </c>
      <c r="J2" s="43" t="s">
        <v>9</v>
      </c>
      <c r="K2" s="43" t="s">
        <v>10</v>
      </c>
    </row>
    <row r="3" spans="1:11">
      <c r="A3" s="26">
        <v>1000001</v>
      </c>
      <c r="B3" s="24">
        <v>38723</v>
      </c>
      <c r="C3" s="25">
        <v>111</v>
      </c>
      <c r="D3" s="26">
        <v>41500</v>
      </c>
      <c r="E3" s="27">
        <v>5</v>
      </c>
      <c r="F3" s="26">
        <v>5.99</v>
      </c>
      <c r="G3" s="26">
        <v>150</v>
      </c>
      <c r="H3" s="28">
        <v>898.5</v>
      </c>
      <c r="I3" s="26">
        <v>89.85</v>
      </c>
      <c r="J3" s="26">
        <v>988.35</v>
      </c>
      <c r="K3" s="26" t="s">
        <v>12</v>
      </c>
    </row>
    <row r="4" spans="1:11">
      <c r="A4" s="33">
        <v>1000002</v>
      </c>
      <c r="B4" s="31">
        <v>38726</v>
      </c>
      <c r="C4" s="32">
        <v>125</v>
      </c>
      <c r="D4" s="33">
        <v>30501</v>
      </c>
      <c r="E4" s="34">
        <v>5</v>
      </c>
      <c r="F4" s="33">
        <v>5.99</v>
      </c>
      <c r="G4" s="33">
        <v>40</v>
      </c>
      <c r="H4" s="35">
        <v>239.6</v>
      </c>
      <c r="I4" s="33">
        <v>19</v>
      </c>
      <c r="J4" s="33">
        <v>263.56</v>
      </c>
      <c r="K4" s="33" t="s">
        <v>12</v>
      </c>
    </row>
    <row r="5" spans="1:11">
      <c r="A5" s="26">
        <v>1000003</v>
      </c>
      <c r="B5" s="24">
        <v>38726</v>
      </c>
      <c r="C5" s="25">
        <v>116</v>
      </c>
      <c r="D5" s="26">
        <v>92324</v>
      </c>
      <c r="E5" s="27">
        <v>5</v>
      </c>
      <c r="F5" s="26">
        <v>5.99</v>
      </c>
      <c r="G5" s="26">
        <v>580</v>
      </c>
      <c r="H5" s="28">
        <v>3474.2</v>
      </c>
      <c r="I5" s="26">
        <v>347.42</v>
      </c>
      <c r="J5" s="26">
        <v>3821.62</v>
      </c>
      <c r="K5" s="26" t="s">
        <v>12</v>
      </c>
    </row>
    <row r="6" spans="1:11">
      <c r="A6" s="33">
        <v>1000004</v>
      </c>
      <c r="B6" s="31">
        <v>38727</v>
      </c>
      <c r="C6" s="32">
        <v>103</v>
      </c>
      <c r="D6" s="33">
        <v>41218</v>
      </c>
      <c r="E6" s="34">
        <v>5</v>
      </c>
      <c r="F6" s="33">
        <v>5.99</v>
      </c>
      <c r="G6" s="33">
        <v>139</v>
      </c>
      <c r="H6" s="35">
        <v>832.61</v>
      </c>
      <c r="I6" s="33">
        <v>83.26</v>
      </c>
      <c r="J6" s="33">
        <v>915.87</v>
      </c>
      <c r="K6" s="33" t="s">
        <v>12</v>
      </c>
    </row>
    <row r="7" spans="1:11">
      <c r="A7" s="26">
        <v>1000005</v>
      </c>
      <c r="B7" s="24">
        <v>38733</v>
      </c>
      <c r="C7" s="25">
        <v>117</v>
      </c>
      <c r="D7" s="26">
        <v>92326</v>
      </c>
      <c r="E7" s="27">
        <v>5</v>
      </c>
      <c r="F7" s="26">
        <v>5.99</v>
      </c>
      <c r="G7" s="26">
        <v>106</v>
      </c>
      <c r="H7" s="28">
        <v>634.94000000000005</v>
      </c>
      <c r="I7" s="26">
        <v>63.49</v>
      </c>
      <c r="J7" s="26">
        <v>698.43</v>
      </c>
      <c r="K7" s="26" t="s">
        <v>12</v>
      </c>
    </row>
    <row r="8" spans="1:11">
      <c r="A8" s="33">
        <v>1000006</v>
      </c>
      <c r="B8" s="31">
        <v>38733</v>
      </c>
      <c r="C8" s="32">
        <v>112</v>
      </c>
      <c r="D8" s="33">
        <v>60703</v>
      </c>
      <c r="E8" s="34">
        <v>5</v>
      </c>
      <c r="F8" s="33">
        <v>5.99</v>
      </c>
      <c r="G8" s="33">
        <v>43</v>
      </c>
      <c r="H8" s="35">
        <v>257.57</v>
      </c>
      <c r="I8" s="33">
        <v>25.76</v>
      </c>
      <c r="J8" s="33">
        <v>283.33</v>
      </c>
      <c r="K8" s="33" t="s">
        <v>12</v>
      </c>
    </row>
    <row r="9" spans="1:11">
      <c r="A9" s="26">
        <v>1000007</v>
      </c>
      <c r="B9" s="24">
        <v>38733</v>
      </c>
      <c r="C9" s="25">
        <v>124</v>
      </c>
      <c r="D9" s="26">
        <v>20108</v>
      </c>
      <c r="E9" s="27">
        <v>5</v>
      </c>
      <c r="F9" s="26">
        <v>5.99</v>
      </c>
      <c r="G9" s="26">
        <v>1570</v>
      </c>
      <c r="H9" s="28">
        <v>9404.2999999999993</v>
      </c>
      <c r="I9" s="26">
        <v>940.43</v>
      </c>
      <c r="J9" s="26">
        <v>10344.73</v>
      </c>
      <c r="K9" s="26" t="s">
        <v>12</v>
      </c>
    </row>
    <row r="10" spans="1:11">
      <c r="A10" s="33">
        <v>1000008</v>
      </c>
      <c r="B10" s="31">
        <v>38735</v>
      </c>
      <c r="C10" s="32">
        <v>114</v>
      </c>
      <c r="D10" s="33">
        <v>21098</v>
      </c>
      <c r="E10" s="34">
        <v>5</v>
      </c>
      <c r="F10" s="33">
        <v>5.99</v>
      </c>
      <c r="G10" s="33">
        <v>2605</v>
      </c>
      <c r="H10" s="35">
        <v>15603.95</v>
      </c>
      <c r="I10" s="33">
        <v>1560.4</v>
      </c>
      <c r="J10" s="33">
        <v>17164.349999999999</v>
      </c>
      <c r="K10" s="33" t="s">
        <v>12</v>
      </c>
    </row>
    <row r="11" spans="1:11">
      <c r="A11" s="26">
        <v>1000009</v>
      </c>
      <c r="B11" s="24">
        <v>38740</v>
      </c>
      <c r="C11" s="25">
        <v>122</v>
      </c>
      <c r="D11" s="26">
        <v>40617</v>
      </c>
      <c r="E11" s="27">
        <v>5</v>
      </c>
      <c r="F11" s="26">
        <v>5.99</v>
      </c>
      <c r="G11" s="26">
        <v>190</v>
      </c>
      <c r="H11" s="26" t="s">
        <v>11</v>
      </c>
      <c r="I11" s="26">
        <v>113.81</v>
      </c>
      <c r="J11" s="26">
        <v>1251.9100000000001</v>
      </c>
      <c r="K11" s="26" t="s">
        <v>12</v>
      </c>
    </row>
    <row r="12" spans="1:11">
      <c r="A12" s="33">
        <v>1000010</v>
      </c>
      <c r="B12" s="31">
        <v>38740</v>
      </c>
      <c r="C12" s="32">
        <v>125</v>
      </c>
      <c r="D12" s="33">
        <v>11702</v>
      </c>
      <c r="E12" s="34">
        <v>5</v>
      </c>
      <c r="F12" s="33">
        <v>5.99</v>
      </c>
      <c r="G12" s="33">
        <v>80</v>
      </c>
      <c r="H12" s="35">
        <v>479.2</v>
      </c>
      <c r="I12" s="33">
        <v>47.92</v>
      </c>
      <c r="J12" s="33">
        <v>527.12</v>
      </c>
      <c r="K12" s="33" t="s">
        <v>12</v>
      </c>
    </row>
    <row r="13" spans="1:11">
      <c r="A13" s="26">
        <v>1000011</v>
      </c>
      <c r="B13" s="24">
        <v>38740</v>
      </c>
      <c r="C13" s="25">
        <v>118</v>
      </c>
      <c r="D13" s="26">
        <v>60300</v>
      </c>
      <c r="E13" s="27">
        <v>5</v>
      </c>
      <c r="F13" s="26">
        <v>5.99</v>
      </c>
      <c r="G13" s="26">
        <v>100</v>
      </c>
      <c r="H13" s="28">
        <v>599</v>
      </c>
      <c r="I13" s="26">
        <v>59.9</v>
      </c>
      <c r="J13" s="26">
        <v>658.9</v>
      </c>
      <c r="K13" s="26" t="s">
        <v>12</v>
      </c>
    </row>
    <row r="14" spans="1:11">
      <c r="A14" s="33">
        <v>1000012</v>
      </c>
      <c r="B14" s="31">
        <v>38747</v>
      </c>
      <c r="C14" s="32">
        <v>125</v>
      </c>
      <c r="D14" s="33">
        <v>11400</v>
      </c>
      <c r="E14" s="34">
        <v>5</v>
      </c>
      <c r="F14" s="33">
        <v>5.99</v>
      </c>
      <c r="G14" s="33">
        <v>40</v>
      </c>
      <c r="H14" s="35">
        <v>239.6</v>
      </c>
      <c r="I14" s="33">
        <v>23.96</v>
      </c>
      <c r="J14" s="33">
        <v>263.56</v>
      </c>
      <c r="K14" s="33" t="s">
        <v>12</v>
      </c>
    </row>
    <row r="15" spans="1:11">
      <c r="A15" s="26">
        <v>1000013</v>
      </c>
      <c r="B15" s="24">
        <v>38747</v>
      </c>
      <c r="C15" s="25">
        <v>103</v>
      </c>
      <c r="D15" s="26">
        <v>10134</v>
      </c>
      <c r="E15" s="27">
        <v>5</v>
      </c>
      <c r="F15" s="26">
        <v>5.99</v>
      </c>
      <c r="G15" s="26">
        <v>1587</v>
      </c>
      <c r="H15" s="28">
        <v>9506.1299999999992</v>
      </c>
      <c r="I15" s="26">
        <v>950.61</v>
      </c>
      <c r="J15" s="26">
        <v>10456.74</v>
      </c>
      <c r="K15" s="26" t="s">
        <v>12</v>
      </c>
    </row>
    <row r="16" spans="1:11">
      <c r="A16" s="33">
        <v>1000014</v>
      </c>
      <c r="B16" s="31">
        <v>38747</v>
      </c>
      <c r="C16" s="32">
        <v>107</v>
      </c>
      <c r="D16" s="33">
        <v>40205</v>
      </c>
      <c r="E16" s="34">
        <v>5</v>
      </c>
      <c r="F16" s="33">
        <v>5.99</v>
      </c>
      <c r="G16" s="33">
        <v>171</v>
      </c>
      <c r="H16" s="35">
        <v>1024.29</v>
      </c>
      <c r="I16" s="33">
        <v>102.43</v>
      </c>
      <c r="J16" s="33">
        <v>1126.72</v>
      </c>
      <c r="K16" s="33" t="s">
        <v>12</v>
      </c>
    </row>
    <row r="17" spans="1:11">
      <c r="A17" s="26">
        <v>1000015</v>
      </c>
      <c r="B17" s="24">
        <v>38747</v>
      </c>
      <c r="C17" s="25">
        <v>104</v>
      </c>
      <c r="D17" s="26">
        <v>21052</v>
      </c>
      <c r="E17" s="27">
        <v>5</v>
      </c>
      <c r="F17" s="26">
        <v>5.99</v>
      </c>
      <c r="G17" s="26">
        <v>656</v>
      </c>
      <c r="H17" s="28">
        <v>3929.44</v>
      </c>
      <c r="I17" s="26">
        <v>392.94</v>
      </c>
      <c r="J17" s="26">
        <v>4322.38</v>
      </c>
      <c r="K17" s="26" t="s">
        <v>12</v>
      </c>
    </row>
    <row r="18" spans="1:11">
      <c r="A18" s="33">
        <v>1000016</v>
      </c>
      <c r="B18" s="31">
        <v>38749</v>
      </c>
      <c r="C18" s="32">
        <v>125</v>
      </c>
      <c r="D18" s="33">
        <v>25354</v>
      </c>
      <c r="E18" s="34">
        <v>5</v>
      </c>
      <c r="F18" s="33">
        <v>5.99</v>
      </c>
      <c r="G18" s="33">
        <v>300</v>
      </c>
      <c r="H18" s="35">
        <v>1797</v>
      </c>
      <c r="I18" s="33">
        <v>179.7</v>
      </c>
      <c r="J18" s="33">
        <v>1976.7</v>
      </c>
      <c r="K18" s="33" t="s">
        <v>13</v>
      </c>
    </row>
    <row r="19" spans="1:11">
      <c r="A19" s="26">
        <v>1000017</v>
      </c>
      <c r="B19" s="24">
        <v>38750</v>
      </c>
      <c r="C19" s="25">
        <v>102</v>
      </c>
      <c r="D19" s="26">
        <v>21466</v>
      </c>
      <c r="E19" s="27">
        <v>5</v>
      </c>
      <c r="F19" s="26">
        <v>5.99</v>
      </c>
      <c r="G19" s="26">
        <v>1200</v>
      </c>
      <c r="H19" s="28">
        <v>7188</v>
      </c>
      <c r="I19" s="26">
        <v>718.8</v>
      </c>
      <c r="J19" s="26">
        <v>7906.8</v>
      </c>
      <c r="K19" s="26" t="s">
        <v>13</v>
      </c>
    </row>
    <row r="20" spans="1:11">
      <c r="A20" s="33">
        <v>1000018</v>
      </c>
      <c r="B20" s="31">
        <v>38750</v>
      </c>
      <c r="C20" s="32">
        <v>116</v>
      </c>
      <c r="D20" s="33">
        <v>92324</v>
      </c>
      <c r="E20" s="34">
        <v>5</v>
      </c>
      <c r="F20" s="33">
        <v>5.99</v>
      </c>
      <c r="G20" s="33">
        <v>141</v>
      </c>
      <c r="H20" s="35">
        <v>844.59</v>
      </c>
      <c r="I20" s="33">
        <v>84.46</v>
      </c>
      <c r="J20" s="33">
        <v>929.05</v>
      </c>
      <c r="K20" s="33" t="s">
        <v>13</v>
      </c>
    </row>
    <row r="21" spans="1:11">
      <c r="A21" s="26">
        <v>1000019</v>
      </c>
      <c r="B21" s="24">
        <v>38750</v>
      </c>
      <c r="C21" s="25">
        <v>118</v>
      </c>
      <c r="D21" s="26">
        <v>60300</v>
      </c>
      <c r="E21" s="27">
        <v>5</v>
      </c>
      <c r="F21" s="26">
        <v>5.99</v>
      </c>
      <c r="G21" s="26">
        <v>110</v>
      </c>
      <c r="H21" s="28">
        <v>658.9</v>
      </c>
      <c r="I21" s="26">
        <v>65.89</v>
      </c>
      <c r="J21" s="26">
        <v>724.79</v>
      </c>
      <c r="K21" s="26" t="s">
        <v>13</v>
      </c>
    </row>
    <row r="22" spans="1:11">
      <c r="A22" s="33">
        <v>1000020</v>
      </c>
      <c r="B22" s="31">
        <v>38751</v>
      </c>
      <c r="C22" s="32">
        <v>127</v>
      </c>
      <c r="D22" s="33">
        <v>20981</v>
      </c>
      <c r="E22" s="34">
        <v>5</v>
      </c>
      <c r="F22" s="33">
        <v>5.99</v>
      </c>
      <c r="G22" s="33">
        <v>560</v>
      </c>
      <c r="H22" s="35">
        <v>3354.4</v>
      </c>
      <c r="I22" s="33">
        <v>335.44</v>
      </c>
      <c r="J22" s="33">
        <v>3689.84</v>
      </c>
      <c r="K22" s="33" t="s">
        <v>13</v>
      </c>
    </row>
    <row r="23" spans="1:11">
      <c r="A23" s="26">
        <v>1000021</v>
      </c>
      <c r="B23" s="24">
        <v>38751</v>
      </c>
      <c r="C23" s="25">
        <v>107</v>
      </c>
      <c r="D23" s="26">
        <v>40308</v>
      </c>
      <c r="E23" s="27">
        <v>5</v>
      </c>
      <c r="F23" s="26">
        <v>5.99</v>
      </c>
      <c r="G23" s="26">
        <v>3549</v>
      </c>
      <c r="H23" s="28">
        <v>21258.51</v>
      </c>
      <c r="I23" s="26">
        <v>2125.85</v>
      </c>
      <c r="J23" s="26">
        <v>23384.36</v>
      </c>
      <c r="K23" s="26" t="s">
        <v>13</v>
      </c>
    </row>
    <row r="24" spans="1:11">
      <c r="A24" s="33">
        <v>1000022</v>
      </c>
      <c r="B24" s="31">
        <v>38751</v>
      </c>
      <c r="C24" s="32">
        <v>105</v>
      </c>
      <c r="D24" s="33">
        <v>30608</v>
      </c>
      <c r="E24" s="34">
        <v>5</v>
      </c>
      <c r="F24" s="33">
        <v>5.99</v>
      </c>
      <c r="G24" s="33">
        <v>50</v>
      </c>
      <c r="H24" s="35">
        <v>299.5</v>
      </c>
      <c r="I24" s="33">
        <v>29.95</v>
      </c>
      <c r="J24" s="33">
        <v>329.45</v>
      </c>
      <c r="K24" s="33" t="s">
        <v>13</v>
      </c>
    </row>
    <row r="25" spans="1:11">
      <c r="A25" s="26">
        <v>1000023</v>
      </c>
      <c r="B25" s="24">
        <v>38751</v>
      </c>
      <c r="C25" s="25">
        <v>112</v>
      </c>
      <c r="D25" s="26">
        <v>50008</v>
      </c>
      <c r="E25" s="27">
        <v>5</v>
      </c>
      <c r="F25" s="26">
        <v>5.99</v>
      </c>
      <c r="G25" s="26">
        <v>139</v>
      </c>
      <c r="H25" s="28">
        <v>832.61</v>
      </c>
      <c r="I25" s="26">
        <v>83.26</v>
      </c>
      <c r="J25" s="26">
        <v>915.87</v>
      </c>
      <c r="K25" s="26" t="s">
        <v>13</v>
      </c>
    </row>
    <row r="26" spans="1:11">
      <c r="A26" s="33">
        <v>1000024</v>
      </c>
      <c r="B26" s="31">
        <v>38751</v>
      </c>
      <c r="C26" s="32">
        <v>102</v>
      </c>
      <c r="D26" s="33">
        <v>30704</v>
      </c>
      <c r="E26" s="34">
        <v>5</v>
      </c>
      <c r="F26" s="33">
        <v>5.99</v>
      </c>
      <c r="G26" s="33">
        <v>21</v>
      </c>
      <c r="H26" s="35">
        <v>125.79</v>
      </c>
      <c r="I26" s="33">
        <v>12.58</v>
      </c>
      <c r="J26" s="33">
        <v>138.37</v>
      </c>
      <c r="K26" s="33" t="s">
        <v>13</v>
      </c>
    </row>
  </sheetData>
  <phoneticPr fontId="2" type="noConversion"/>
  <conditionalFormatting sqref="A26:K26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{3AEC65FB-19A6-4023-9211-C25F24F0FEBB}</x14:id>
        </ext>
      </extLst>
    </cfRule>
  </conditionalFormatting>
  <conditionalFormatting sqref="A3:K26">
    <cfRule type="expression" dxfId="24" priority="3">
      <formula>$J3=MAX($J:$J)</formula>
    </cfRule>
  </conditionalFormatting>
  <conditionalFormatting sqref="A2:K26">
    <cfRule type="expression" dxfId="23" priority="2">
      <formula>$J2=MAX($J:$J)</formula>
    </cfRule>
  </conditionalFormatting>
  <conditionalFormatting sqref="A3:A26">
    <cfRule type="expression" dxfId="22" priority="1">
      <formula>$J3=MAX($J:$J)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AEC65FB-19A6-4023-9211-C25F24F0FEB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A26:K26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15"/>
  <sheetViews>
    <sheetView zoomScale="115" zoomScaleNormal="115" workbookViewId="0">
      <selection activeCell="H12" sqref="H12"/>
    </sheetView>
  </sheetViews>
  <sheetFormatPr defaultRowHeight="14.25"/>
  <cols>
    <col min="1" max="1" width="13.125" bestFit="1" customWidth="1"/>
    <col min="2" max="2" width="14.625" bestFit="1" customWidth="1"/>
    <col min="3" max="3" width="11" bestFit="1" customWidth="1"/>
    <col min="4" max="4" width="10.125" bestFit="1" customWidth="1"/>
    <col min="5" max="5" width="14.625" bestFit="1" customWidth="1"/>
    <col min="6" max="6" width="6" bestFit="1" customWidth="1"/>
    <col min="7" max="7" width="10.375" bestFit="1" customWidth="1"/>
    <col min="8" max="8" width="14.625" bestFit="1" customWidth="1"/>
    <col min="9" max="9" width="6.375" bestFit="1" customWidth="1"/>
    <col min="10" max="10" width="13.125" bestFit="1" customWidth="1"/>
  </cols>
  <sheetData>
    <row r="1" spans="1:10" ht="35.25" customHeight="1">
      <c r="D1" s="53" t="s">
        <v>35</v>
      </c>
      <c r="E1" s="53"/>
      <c r="F1" s="53"/>
      <c r="G1" s="53" t="s">
        <v>36</v>
      </c>
      <c r="H1" s="53"/>
      <c r="I1" s="54" t="s">
        <v>37</v>
      </c>
      <c r="J1" s="55"/>
    </row>
    <row r="2" spans="1:10" ht="15">
      <c r="A2" s="2" t="s">
        <v>17</v>
      </c>
      <c r="B2" s="2" t="s">
        <v>19</v>
      </c>
      <c r="D2" s="4" t="s">
        <v>17</v>
      </c>
      <c r="E2" s="3" t="s">
        <v>21</v>
      </c>
      <c r="F2" s="3"/>
      <c r="G2" s="4" t="s">
        <v>17</v>
      </c>
      <c r="H2" s="3" t="s">
        <v>22</v>
      </c>
      <c r="I2" s="4" t="s">
        <v>17</v>
      </c>
      <c r="J2" s="3" t="s">
        <v>23</v>
      </c>
    </row>
    <row r="3" spans="1:10" ht="15">
      <c r="A3" s="3" t="s">
        <v>18</v>
      </c>
      <c r="B3" s="3">
        <v>202106</v>
      </c>
      <c r="D3" s="4" t="s">
        <v>24</v>
      </c>
      <c r="E3" s="3" t="str">
        <f>VLOOKUP(A13,A10:C15,2,FALSE)</f>
        <v xml:space="preserve">Imteyaz sheikh </v>
      </c>
      <c r="F3" s="3"/>
      <c r="G3" s="4" t="s">
        <v>24</v>
      </c>
      <c r="H3" s="3" t="str">
        <f>VLOOKUP(VLOOKUP(H2,A2:B7,2,FALSE),A10:C15,2,FALSE)</f>
        <v>neha marchant</v>
      </c>
      <c r="I3" s="4" t="s">
        <v>24</v>
      </c>
      <c r="J3" s="3" t="str">
        <f>VLOOKUP(VLOOKUP(J2,Sheet4!A1:B6,2,FALSE),Sheet5!A1:C6,2,FALSE)</f>
        <v>Jahnvi dsoza</v>
      </c>
    </row>
    <row r="4" spans="1:10" ht="15">
      <c r="A4" s="3" t="s">
        <v>20</v>
      </c>
      <c r="B4" s="3">
        <v>202107</v>
      </c>
      <c r="D4" s="4" t="s">
        <v>25</v>
      </c>
      <c r="E4" s="3" t="str">
        <f>VLOOKUP(A13,A11:C16,3,FALSE)</f>
        <v>Founder</v>
      </c>
      <c r="F4" s="3"/>
      <c r="G4" s="4" t="s">
        <v>25</v>
      </c>
      <c r="H4" s="3" t="str">
        <f>VLOOKUP(VLOOKUP(H2,A2:B7,2,FALSE),A10:C15,3,FALSE)</f>
        <v>Direct Entry</v>
      </c>
      <c r="I4" s="4" t="s">
        <v>25</v>
      </c>
      <c r="J4" s="3" t="str">
        <f>VLOOKUP(VLOOKUP(J2,Sheet4!A2:B7,2,FALSE),Sheet5!A2:C7,3,FALSE)</f>
        <v>Direct Entry</v>
      </c>
    </row>
    <row r="5" spans="1:10" ht="15">
      <c r="A5" s="3" t="s">
        <v>21</v>
      </c>
      <c r="B5" s="3">
        <v>202108</v>
      </c>
    </row>
    <row r="6" spans="1:10" ht="15">
      <c r="A6" s="3" t="s">
        <v>22</v>
      </c>
      <c r="B6" s="3">
        <v>202109</v>
      </c>
    </row>
    <row r="7" spans="1:10" ht="15">
      <c r="A7" s="3" t="s">
        <v>23</v>
      </c>
      <c r="B7" s="3">
        <v>202110</v>
      </c>
    </row>
    <row r="9" spans="1:10" ht="15">
      <c r="F9" s="3" t="s">
        <v>40</v>
      </c>
      <c r="G9" s="3" t="s">
        <v>41</v>
      </c>
    </row>
    <row r="10" spans="1:10" ht="15">
      <c r="A10" s="2" t="s">
        <v>19</v>
      </c>
      <c r="B10" s="2" t="s">
        <v>24</v>
      </c>
      <c r="C10" s="2" t="s">
        <v>26</v>
      </c>
      <c r="D10" s="2" t="s">
        <v>38</v>
      </c>
      <c r="E10" s="2" t="s">
        <v>43</v>
      </c>
      <c r="F10" s="6" t="s">
        <v>39</v>
      </c>
      <c r="G10" s="5">
        <f>VLOOKUP(A13,A10:D15,4,FALSE)</f>
        <v>44333</v>
      </c>
    </row>
    <row r="11" spans="1:10" ht="30.75" customHeight="1">
      <c r="A11" s="3">
        <v>202106</v>
      </c>
      <c r="B11" s="3" t="s">
        <v>27</v>
      </c>
      <c r="C11" s="3" t="s">
        <v>32</v>
      </c>
      <c r="D11" s="5">
        <v>44331</v>
      </c>
      <c r="E11" s="7">
        <v>0.47291666666666665</v>
      </c>
      <c r="F11" s="56" t="s">
        <v>42</v>
      </c>
      <c r="G11" s="53"/>
    </row>
    <row r="12" spans="1:10" ht="15">
      <c r="A12" s="3">
        <v>202107</v>
      </c>
      <c r="B12" s="3" t="s">
        <v>28</v>
      </c>
      <c r="C12" s="3" t="s">
        <v>33</v>
      </c>
      <c r="D12" s="5">
        <v>44332</v>
      </c>
      <c r="E12" s="7">
        <v>0.63958333333333328</v>
      </c>
      <c r="F12" s="57" t="str">
        <f>TEXT(VLOOKUP(A15,A10:D15,4,FALSE),"MM/DD/YYYY")</f>
        <v>05/19/2021</v>
      </c>
      <c r="G12" s="58"/>
      <c r="H12" t="str">
        <f>TEXT(VLOOKUP(G9,B10:E15,4,FALSE),"HH:MM")</f>
        <v>15:21</v>
      </c>
    </row>
    <row r="13" spans="1:10" ht="15">
      <c r="A13" s="3">
        <v>202108</v>
      </c>
      <c r="B13" s="3" t="s">
        <v>29</v>
      </c>
      <c r="C13" s="3" t="s">
        <v>33</v>
      </c>
      <c r="D13" s="5">
        <v>44333</v>
      </c>
      <c r="E13" s="7">
        <v>0.68125000000000002</v>
      </c>
    </row>
    <row r="14" spans="1:10" ht="15">
      <c r="A14" s="3">
        <v>202109</v>
      </c>
      <c r="B14" s="3" t="s">
        <v>30</v>
      </c>
      <c r="C14" s="3" t="s">
        <v>34</v>
      </c>
      <c r="D14" s="5">
        <v>44334</v>
      </c>
      <c r="E14" s="7">
        <v>0.72291666666666698</v>
      </c>
    </row>
    <row r="15" spans="1:10" ht="15">
      <c r="A15" s="3">
        <v>202110</v>
      </c>
      <c r="B15" s="3" t="s">
        <v>31</v>
      </c>
      <c r="C15" s="3" t="s">
        <v>34</v>
      </c>
      <c r="D15" s="5">
        <v>44335</v>
      </c>
      <c r="E15" s="7">
        <v>0.76458333333333295</v>
      </c>
    </row>
  </sheetData>
  <mergeCells count="5">
    <mergeCell ref="D1:F1"/>
    <mergeCell ref="G1:H1"/>
    <mergeCell ref="I1:J1"/>
    <mergeCell ref="F11:G11"/>
    <mergeCell ref="F12:G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6"/>
  <sheetViews>
    <sheetView workbookViewId="0">
      <selection activeCell="C7" sqref="C7"/>
    </sheetView>
  </sheetViews>
  <sheetFormatPr defaultRowHeight="14.25"/>
  <cols>
    <col min="1" max="1" width="7.25" bestFit="1" customWidth="1"/>
    <col min="2" max="2" width="14.625" bestFit="1" customWidth="1"/>
    <col min="3" max="3" width="10.875" bestFit="1" customWidth="1"/>
  </cols>
  <sheetData>
    <row r="1" spans="1:3">
      <c r="A1" s="2" t="s">
        <v>19</v>
      </c>
      <c r="B1" s="2" t="s">
        <v>24</v>
      </c>
      <c r="C1" s="2" t="s">
        <v>26</v>
      </c>
    </row>
    <row r="2" spans="1:3">
      <c r="A2" s="3">
        <v>202106</v>
      </c>
      <c r="B2" s="3" t="s">
        <v>27</v>
      </c>
      <c r="C2" s="3" t="s">
        <v>32</v>
      </c>
    </row>
    <row r="3" spans="1:3">
      <c r="A3" s="3">
        <v>202107</v>
      </c>
      <c r="B3" s="3" t="s">
        <v>28</v>
      </c>
      <c r="C3" s="3" t="s">
        <v>33</v>
      </c>
    </row>
    <row r="4" spans="1:3">
      <c r="A4" s="3">
        <v>202108</v>
      </c>
      <c r="B4" s="3" t="s">
        <v>29</v>
      </c>
      <c r="C4" s="3" t="s">
        <v>33</v>
      </c>
    </row>
    <row r="5" spans="1:3">
      <c r="A5" s="3">
        <v>202109</v>
      </c>
      <c r="B5" s="3" t="s">
        <v>30</v>
      </c>
      <c r="C5" s="3" t="s">
        <v>34</v>
      </c>
    </row>
    <row r="6" spans="1:3">
      <c r="A6" s="3">
        <v>202110</v>
      </c>
      <c r="B6" s="3" t="s">
        <v>31</v>
      </c>
      <c r="C6" s="3" t="s">
        <v>34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6"/>
  <sheetViews>
    <sheetView zoomScaleNormal="100" workbookViewId="0">
      <selection activeCell="D7" sqref="D7"/>
    </sheetView>
  </sheetViews>
  <sheetFormatPr defaultRowHeight="14.25"/>
  <cols>
    <col min="1" max="1" width="12.25" bestFit="1" customWidth="1"/>
    <col min="2" max="2" width="7.25" bestFit="1" customWidth="1"/>
  </cols>
  <sheetData>
    <row r="1" spans="1:2">
      <c r="A1" s="2" t="s">
        <v>17</v>
      </c>
      <c r="B1" s="2" t="s">
        <v>19</v>
      </c>
    </row>
    <row r="2" spans="1:2">
      <c r="A2" s="3" t="s">
        <v>18</v>
      </c>
      <c r="B2" s="3">
        <v>202106</v>
      </c>
    </row>
    <row r="3" spans="1:2">
      <c r="A3" s="3" t="s">
        <v>20</v>
      </c>
      <c r="B3" s="3">
        <v>202107</v>
      </c>
    </row>
    <row r="4" spans="1:2">
      <c r="A4" s="3" t="s">
        <v>21</v>
      </c>
      <c r="B4" s="3">
        <v>202108</v>
      </c>
    </row>
    <row r="5" spans="1:2">
      <c r="A5" s="3" t="s">
        <v>22</v>
      </c>
      <c r="B5" s="3">
        <v>202109</v>
      </c>
    </row>
    <row r="6" spans="1:2">
      <c r="A6" s="3" t="s">
        <v>23</v>
      </c>
      <c r="B6" s="3">
        <v>202110</v>
      </c>
    </row>
  </sheetData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23"/>
  <sheetViews>
    <sheetView showWhiteSpace="0" zoomScaleNormal="100" workbookViewId="0">
      <selection activeCell="I16" sqref="I16"/>
    </sheetView>
  </sheetViews>
  <sheetFormatPr defaultRowHeight="14.25"/>
  <cols>
    <col min="1" max="1" width="33" bestFit="1" customWidth="1"/>
    <col min="2" max="2" width="6.875" bestFit="1" customWidth="1"/>
    <col min="3" max="3" width="11" bestFit="1" customWidth="1"/>
    <col min="4" max="4" width="32" bestFit="1" customWidth="1"/>
    <col min="5" max="5" width="11.25" bestFit="1" customWidth="1"/>
    <col min="6" max="6" width="9.875" bestFit="1" customWidth="1"/>
    <col min="7" max="7" width="6" bestFit="1" customWidth="1"/>
    <col min="8" max="8" width="5" bestFit="1" customWidth="1"/>
    <col min="9" max="9" width="7.25" bestFit="1" customWidth="1"/>
    <col min="10" max="10" width="6" bestFit="1" customWidth="1"/>
    <col min="11" max="11" width="37.625" bestFit="1" customWidth="1"/>
    <col min="12" max="12" width="13.625" bestFit="1" customWidth="1"/>
    <col min="13" max="13" width="18.75" bestFit="1" customWidth="1"/>
    <col min="14" max="14" width="11.875" bestFit="1" customWidth="1"/>
    <col min="15" max="15" width="13.375" bestFit="1" customWidth="1"/>
  </cols>
  <sheetData>
    <row r="1" spans="1:15">
      <c r="A1" s="8" t="s">
        <v>44</v>
      </c>
      <c r="B1" s="8" t="s">
        <v>45</v>
      </c>
      <c r="C1" s="8" t="s">
        <v>46</v>
      </c>
      <c r="D1" s="8" t="s">
        <v>61</v>
      </c>
      <c r="E1" s="8" t="s">
        <v>62</v>
      </c>
      <c r="F1" s="8" t="s">
        <v>63</v>
      </c>
      <c r="G1" s="8" t="s">
        <v>64</v>
      </c>
      <c r="H1" s="8" t="s">
        <v>65</v>
      </c>
      <c r="I1" s="8" t="s">
        <v>66</v>
      </c>
      <c r="J1" s="8" t="s">
        <v>67</v>
      </c>
      <c r="K1" s="8" t="s">
        <v>68</v>
      </c>
      <c r="L1" s="8" t="s">
        <v>69</v>
      </c>
      <c r="M1" s="8" t="s">
        <v>70</v>
      </c>
      <c r="N1" s="8" t="s">
        <v>71</v>
      </c>
      <c r="O1" s="8" t="s">
        <v>72</v>
      </c>
    </row>
    <row r="2" spans="1:15">
      <c r="A2" s="9" t="s">
        <v>47</v>
      </c>
      <c r="B2" s="9" t="str">
        <f>RIGHT(A2)</f>
        <v>9</v>
      </c>
      <c r="C2" s="9">
        <v>1234568920</v>
      </c>
      <c r="D2" s="9" t="str">
        <f>LEFT(A2,LEN(A2)-1)</f>
        <v>PADMI R NAIR</v>
      </c>
      <c r="E2" s="9" t="str">
        <f>CONCATENATE(O2,B2)</f>
        <v>Account9</v>
      </c>
      <c r="F2" s="9">
        <v>25890</v>
      </c>
      <c r="G2" s="10">
        <f>F2*50%</f>
        <v>12945</v>
      </c>
      <c r="H2" s="9">
        <v>5890</v>
      </c>
      <c r="I2" s="9">
        <v>2560</v>
      </c>
      <c r="J2" s="9" t="str">
        <f>IF(F2&gt;25000,"YES","NO")</f>
        <v>YES</v>
      </c>
      <c r="K2" s="9">
        <f>IF(F2&gt;25000,100000,"SORRY YOU ARE  NOT ELIGIBLE FOR LOAN ")</f>
        <v>100000</v>
      </c>
      <c r="L2" s="12">
        <f>-PMT(12%,12,K2)</f>
        <v>16143.680759399576</v>
      </c>
      <c r="M2" s="13" t="str">
        <f>IF(F2&lt;25000,"100",IF(F2&lt;30000,"200","300"))</f>
        <v>200</v>
      </c>
      <c r="N2" s="10">
        <f>F2+G2+H2+I2-L2</f>
        <v>31141.319240600424</v>
      </c>
      <c r="O2" s="9" t="s">
        <v>73</v>
      </c>
    </row>
    <row r="3" spans="1:15">
      <c r="A3" s="9" t="s">
        <v>48</v>
      </c>
      <c r="B3" s="9" t="str">
        <f t="shared" ref="B3:B14" si="0">RIGHT(A3)</f>
        <v>2</v>
      </c>
      <c r="C3" s="9">
        <v>1234568921</v>
      </c>
      <c r="D3" s="9" t="str">
        <f t="shared" ref="D3:D14" si="1">LEFT(A3,LEN(A3)-1)</f>
        <v>ARUN TRIBHOVANBHAI SHE TH</v>
      </c>
      <c r="E3" s="9" t="str">
        <f t="shared" ref="E3:E23" si="2">CONCATENATE(O3,B3)</f>
        <v>Admin2</v>
      </c>
      <c r="F3" s="9">
        <v>54540</v>
      </c>
      <c r="G3" s="10">
        <f t="shared" ref="G3:G23" si="3">F3*50%</f>
        <v>27270</v>
      </c>
      <c r="H3" s="9">
        <v>5890</v>
      </c>
      <c r="I3" s="9">
        <v>5620</v>
      </c>
      <c r="J3" s="9" t="str">
        <f t="shared" ref="J3:J23" si="4">IF(F3&gt;25000,"YES","NO")</f>
        <v>YES</v>
      </c>
      <c r="K3" s="9">
        <f>IF(F3&gt;25000,100000,"SORRY YOU ARE  NOT ELIGIBLE FOR LOAN ")</f>
        <v>100000</v>
      </c>
      <c r="L3" s="12">
        <f t="shared" ref="L3:L23" si="5">-PMT(12%,12,K3)</f>
        <v>16143.680759399576</v>
      </c>
      <c r="M3" s="13" t="str">
        <f t="shared" ref="M3:M23" si="6">IF(F3&lt;25000,"100",IF(F3&lt;30000,"200","300"))</f>
        <v>300</v>
      </c>
      <c r="N3" s="10">
        <f t="shared" ref="N3:N23" si="7">F3+G3+H3+I3-L3</f>
        <v>77176.319240600424</v>
      </c>
      <c r="O3" s="9" t="s">
        <v>74</v>
      </c>
    </row>
    <row r="4" spans="1:15">
      <c r="A4" s="9" t="s">
        <v>49</v>
      </c>
      <c r="B4" s="9" t="str">
        <f t="shared" si="0"/>
        <v>1</v>
      </c>
      <c r="C4" s="9">
        <v>1234568922</v>
      </c>
      <c r="D4" s="9" t="str">
        <f t="shared" si="1"/>
        <v>SHANTILAL RAHULKUMAR VOHERA</v>
      </c>
      <c r="E4" s="9" t="str">
        <f t="shared" si="2"/>
        <v>Finance1</v>
      </c>
      <c r="F4" s="9">
        <v>21560</v>
      </c>
      <c r="G4" s="10">
        <f t="shared" si="3"/>
        <v>10780</v>
      </c>
      <c r="H4" s="9">
        <v>6008</v>
      </c>
      <c r="I4" s="9">
        <v>5732</v>
      </c>
      <c r="J4" s="9" t="str">
        <f t="shared" si="4"/>
        <v>NO</v>
      </c>
      <c r="K4" s="9" t="str">
        <f t="shared" ref="K4:K23" si="8">IF(F4&gt;25000,100000,"SORRY YOU ARE  NOT ELIGIBLE FOR LOAN ")</f>
        <v xml:space="preserve">SORRY YOU ARE  NOT ELIGIBLE FOR LOAN </v>
      </c>
      <c r="L4" s="12"/>
      <c r="M4" s="13" t="str">
        <f t="shared" si="6"/>
        <v>100</v>
      </c>
      <c r="N4" s="10">
        <f t="shared" si="7"/>
        <v>44080</v>
      </c>
      <c r="O4" s="9" t="s">
        <v>75</v>
      </c>
    </row>
    <row r="5" spans="1:15">
      <c r="A5" s="9" t="s">
        <v>50</v>
      </c>
      <c r="B5" s="9" t="str">
        <f t="shared" si="0"/>
        <v>1</v>
      </c>
      <c r="C5" s="9">
        <v>1234568923</v>
      </c>
      <c r="D5" s="9" t="str">
        <f t="shared" si="1"/>
        <v>SHAH DAHYABHAI MANEKBHAI</v>
      </c>
      <c r="E5" s="9" t="str">
        <f t="shared" si="2"/>
        <v>Marketing1</v>
      </c>
      <c r="F5" s="9">
        <v>21991</v>
      </c>
      <c r="G5" s="10">
        <f t="shared" si="3"/>
        <v>10995.5</v>
      </c>
      <c r="H5" s="9">
        <v>6128</v>
      </c>
      <c r="I5" s="9">
        <v>5847</v>
      </c>
      <c r="J5" s="9" t="str">
        <f t="shared" si="4"/>
        <v>NO</v>
      </c>
      <c r="K5" s="9" t="str">
        <f t="shared" si="8"/>
        <v xml:space="preserve">SORRY YOU ARE  NOT ELIGIBLE FOR LOAN </v>
      </c>
      <c r="L5" s="12"/>
      <c r="M5" s="13" t="str">
        <f t="shared" si="6"/>
        <v>100</v>
      </c>
      <c r="N5" s="10">
        <f t="shared" si="7"/>
        <v>44961.5</v>
      </c>
      <c r="O5" s="9" t="s">
        <v>76</v>
      </c>
    </row>
    <row r="6" spans="1:15">
      <c r="A6" s="9" t="s">
        <v>51</v>
      </c>
      <c r="B6" s="9" t="str">
        <f t="shared" si="0"/>
        <v>4</v>
      </c>
      <c r="C6" s="9">
        <v>1234568924</v>
      </c>
      <c r="D6" s="9" t="str">
        <f t="shared" si="1"/>
        <v>DAYALDAS G KHERAJANI</v>
      </c>
      <c r="E6" s="9" t="str">
        <f t="shared" si="2"/>
        <v>Admin4</v>
      </c>
      <c r="F6" s="9">
        <v>22431</v>
      </c>
      <c r="G6" s="10">
        <f t="shared" si="3"/>
        <v>11215.5</v>
      </c>
      <c r="H6" s="9">
        <v>6251</v>
      </c>
      <c r="I6" s="9">
        <v>5964</v>
      </c>
      <c r="J6" s="9" t="str">
        <f t="shared" si="4"/>
        <v>NO</v>
      </c>
      <c r="K6" s="9" t="str">
        <f t="shared" si="8"/>
        <v xml:space="preserve">SORRY YOU ARE  NOT ELIGIBLE FOR LOAN </v>
      </c>
      <c r="L6" s="12"/>
      <c r="M6" s="13" t="str">
        <f t="shared" si="6"/>
        <v>100</v>
      </c>
      <c r="N6" s="10">
        <f t="shared" si="7"/>
        <v>45861.5</v>
      </c>
      <c r="O6" s="9" t="s">
        <v>74</v>
      </c>
    </row>
    <row r="7" spans="1:15">
      <c r="A7" s="9" t="s">
        <v>52</v>
      </c>
      <c r="B7" s="9" t="str">
        <f t="shared" si="0"/>
        <v>5</v>
      </c>
      <c r="C7" s="9">
        <v>1234568925</v>
      </c>
      <c r="D7" s="9" t="str">
        <f t="shared" si="1"/>
        <v>HASMUKHLAL BHULABHAI PATEL</v>
      </c>
      <c r="E7" s="9" t="str">
        <f t="shared" si="2"/>
        <v>Sales5</v>
      </c>
      <c r="F7" s="9">
        <v>22880</v>
      </c>
      <c r="G7" s="10">
        <f t="shared" si="3"/>
        <v>11440</v>
      </c>
      <c r="H7" s="9">
        <v>6376</v>
      </c>
      <c r="I7" s="9">
        <v>6083</v>
      </c>
      <c r="J7" s="9" t="str">
        <f t="shared" si="4"/>
        <v>NO</v>
      </c>
      <c r="K7" s="9" t="str">
        <f t="shared" si="8"/>
        <v xml:space="preserve">SORRY YOU ARE  NOT ELIGIBLE FOR LOAN </v>
      </c>
      <c r="L7" s="12"/>
      <c r="M7" s="13" t="str">
        <f t="shared" si="6"/>
        <v>100</v>
      </c>
      <c r="N7" s="10">
        <f t="shared" si="7"/>
        <v>46779</v>
      </c>
      <c r="O7" s="9" t="s">
        <v>77</v>
      </c>
    </row>
    <row r="8" spans="1:15">
      <c r="A8" s="9" t="s">
        <v>53</v>
      </c>
      <c r="B8" s="9" t="str">
        <f t="shared" si="0"/>
        <v>9</v>
      </c>
      <c r="C8" s="9">
        <v>1234568926</v>
      </c>
      <c r="D8" s="9" t="str">
        <f t="shared" si="1"/>
        <v>PATEL RAMILABEN MANGALBHAI</v>
      </c>
      <c r="E8" s="9" t="str">
        <f t="shared" si="2"/>
        <v>HR9</v>
      </c>
      <c r="F8" s="9">
        <v>25480</v>
      </c>
      <c r="G8" s="10">
        <f t="shared" si="3"/>
        <v>12740</v>
      </c>
      <c r="H8" s="9">
        <v>6503</v>
      </c>
      <c r="I8" s="9">
        <v>6205</v>
      </c>
      <c r="J8" s="9" t="str">
        <f t="shared" si="4"/>
        <v>YES</v>
      </c>
      <c r="K8" s="9">
        <f t="shared" si="8"/>
        <v>100000</v>
      </c>
      <c r="L8" s="12">
        <f t="shared" si="5"/>
        <v>16143.680759399576</v>
      </c>
      <c r="M8" s="13" t="str">
        <f t="shared" si="6"/>
        <v>200</v>
      </c>
      <c r="N8" s="10">
        <f t="shared" si="7"/>
        <v>34784.319240600424</v>
      </c>
      <c r="O8" s="9" t="s">
        <v>65</v>
      </c>
    </row>
    <row r="9" spans="1:15">
      <c r="A9" s="9" t="s">
        <v>54</v>
      </c>
      <c r="B9" s="9" t="str">
        <f t="shared" si="0"/>
        <v>4</v>
      </c>
      <c r="C9" s="9">
        <v>1234568927</v>
      </c>
      <c r="D9" s="9" t="str">
        <f t="shared" si="1"/>
        <v>DIPIKA KETAN SHAH</v>
      </c>
      <c r="E9" s="9" t="str">
        <f t="shared" si="2"/>
        <v>Account4</v>
      </c>
      <c r="F9" s="9">
        <v>25990</v>
      </c>
      <c r="G9" s="10">
        <f t="shared" si="3"/>
        <v>12995</v>
      </c>
      <c r="H9" s="9">
        <v>6633</v>
      </c>
      <c r="I9" s="9">
        <v>6329</v>
      </c>
      <c r="J9" s="9" t="str">
        <f t="shared" si="4"/>
        <v>YES</v>
      </c>
      <c r="K9" s="9">
        <f t="shared" si="8"/>
        <v>100000</v>
      </c>
      <c r="L9" s="12">
        <f t="shared" si="5"/>
        <v>16143.680759399576</v>
      </c>
      <c r="M9" s="13" t="str">
        <f t="shared" si="6"/>
        <v>200</v>
      </c>
      <c r="N9" s="10">
        <f t="shared" si="7"/>
        <v>35803.319240600424</v>
      </c>
      <c r="O9" s="9" t="s">
        <v>73</v>
      </c>
    </row>
    <row r="10" spans="1:15">
      <c r="A10" s="9" t="s">
        <v>55</v>
      </c>
      <c r="B10" s="9" t="str">
        <f t="shared" si="0"/>
        <v>7</v>
      </c>
      <c r="C10" s="9">
        <v>1234568928</v>
      </c>
      <c r="D10" s="9" t="str">
        <f t="shared" si="1"/>
        <v>MAULIK VIMALESH DESAI</v>
      </c>
      <c r="E10" s="9" t="str">
        <f t="shared" si="2"/>
        <v>Finance7</v>
      </c>
      <c r="F10" s="9">
        <v>21560</v>
      </c>
      <c r="G10" s="10">
        <f t="shared" si="3"/>
        <v>10780</v>
      </c>
      <c r="H10" s="9">
        <v>6766</v>
      </c>
      <c r="I10" s="9">
        <v>6456</v>
      </c>
      <c r="J10" s="9" t="str">
        <f t="shared" si="4"/>
        <v>NO</v>
      </c>
      <c r="K10" s="9" t="str">
        <f t="shared" si="8"/>
        <v xml:space="preserve">SORRY YOU ARE  NOT ELIGIBLE FOR LOAN </v>
      </c>
      <c r="L10" s="12"/>
      <c r="M10" s="13" t="str">
        <f t="shared" si="6"/>
        <v>100</v>
      </c>
      <c r="N10" s="10">
        <f t="shared" si="7"/>
        <v>45562</v>
      </c>
      <c r="O10" s="9" t="s">
        <v>75</v>
      </c>
    </row>
    <row r="11" spans="1:15">
      <c r="A11" s="9" t="s">
        <v>56</v>
      </c>
      <c r="B11" s="9" t="str">
        <f t="shared" si="0"/>
        <v>1</v>
      </c>
      <c r="C11" s="9">
        <v>1234568929</v>
      </c>
      <c r="D11" s="9" t="str">
        <f t="shared" si="1"/>
        <v>KANCHANBEN H SHAH</v>
      </c>
      <c r="E11" s="9" t="str">
        <f t="shared" si="2"/>
        <v>Sales1</v>
      </c>
      <c r="F11" s="9">
        <v>21991</v>
      </c>
      <c r="G11" s="10">
        <f t="shared" si="3"/>
        <v>10995.5</v>
      </c>
      <c r="H11" s="9">
        <v>6901</v>
      </c>
      <c r="I11" s="9">
        <v>6585</v>
      </c>
      <c r="J11" s="9" t="str">
        <f t="shared" si="4"/>
        <v>NO</v>
      </c>
      <c r="K11" s="9" t="str">
        <f t="shared" si="8"/>
        <v xml:space="preserve">SORRY YOU ARE  NOT ELIGIBLE FOR LOAN </v>
      </c>
      <c r="L11" s="12"/>
      <c r="M11" s="13" t="str">
        <f t="shared" si="6"/>
        <v>100</v>
      </c>
      <c r="N11" s="10">
        <f t="shared" si="7"/>
        <v>46472.5</v>
      </c>
      <c r="O11" s="9" t="s">
        <v>77</v>
      </c>
    </row>
    <row r="12" spans="1:15">
      <c r="A12" s="9" t="s">
        <v>57</v>
      </c>
      <c r="B12" s="9" t="str">
        <f t="shared" si="0"/>
        <v>1</v>
      </c>
      <c r="C12" s="9">
        <v>1234568930</v>
      </c>
      <c r="D12" s="9" t="str">
        <f t="shared" si="1"/>
        <v>KINNER B SHAH</v>
      </c>
      <c r="E12" s="9" t="str">
        <f t="shared" si="2"/>
        <v>Finance1</v>
      </c>
      <c r="F12" s="9">
        <v>22431</v>
      </c>
      <c r="G12" s="10">
        <f t="shared" si="3"/>
        <v>11215.5</v>
      </c>
      <c r="H12" s="9">
        <v>7039</v>
      </c>
      <c r="I12" s="9">
        <v>6716</v>
      </c>
      <c r="J12" s="9" t="str">
        <f t="shared" si="4"/>
        <v>NO</v>
      </c>
      <c r="K12" s="9" t="str">
        <f t="shared" si="8"/>
        <v xml:space="preserve">SORRY YOU ARE  NOT ELIGIBLE FOR LOAN </v>
      </c>
      <c r="L12" s="12"/>
      <c r="M12" s="13" t="str">
        <f t="shared" si="6"/>
        <v>100</v>
      </c>
      <c r="N12" s="10">
        <f t="shared" si="7"/>
        <v>47401.5</v>
      </c>
      <c r="O12" s="9" t="s">
        <v>75</v>
      </c>
    </row>
    <row r="13" spans="1:15">
      <c r="A13" s="9" t="s">
        <v>58</v>
      </c>
      <c r="B13" s="9" t="str">
        <f t="shared" si="0"/>
        <v>4</v>
      </c>
      <c r="C13" s="9">
        <v>1234568931</v>
      </c>
      <c r="D13" s="9" t="str">
        <f t="shared" si="1"/>
        <v>DR BIREN HARSHADBHAI GANDHI</v>
      </c>
      <c r="E13" s="9" t="str">
        <f t="shared" si="2"/>
        <v>Account4</v>
      </c>
      <c r="F13" s="9">
        <v>25690</v>
      </c>
      <c r="G13" s="10">
        <f t="shared" si="3"/>
        <v>12845</v>
      </c>
      <c r="H13" s="9">
        <v>7180</v>
      </c>
      <c r="I13" s="9">
        <v>6851</v>
      </c>
      <c r="J13" s="9" t="str">
        <f t="shared" si="4"/>
        <v>YES</v>
      </c>
      <c r="K13" s="9">
        <f t="shared" si="8"/>
        <v>100000</v>
      </c>
      <c r="L13" s="12">
        <f t="shared" si="5"/>
        <v>16143.680759399576</v>
      </c>
      <c r="M13" s="13" t="str">
        <f t="shared" si="6"/>
        <v>200</v>
      </c>
      <c r="N13" s="10">
        <f t="shared" si="7"/>
        <v>36422.319240600424</v>
      </c>
      <c r="O13" s="9" t="s">
        <v>73</v>
      </c>
    </row>
    <row r="14" spans="1:15">
      <c r="A14" s="9" t="s">
        <v>59</v>
      </c>
      <c r="B14" s="9" t="str">
        <f t="shared" si="0"/>
        <v>1</v>
      </c>
      <c r="C14" s="9">
        <v>1234568932</v>
      </c>
      <c r="D14" s="9" t="str">
        <f t="shared" si="1"/>
        <v>SHAMIK HENANT DESAI</v>
      </c>
      <c r="E14" s="9" t="str">
        <f t="shared" si="2"/>
        <v>Finance1</v>
      </c>
      <c r="F14" s="9">
        <v>26204</v>
      </c>
      <c r="G14" s="10">
        <f t="shared" si="3"/>
        <v>13102</v>
      </c>
      <c r="H14" s="9">
        <v>7323</v>
      </c>
      <c r="I14" s="9">
        <v>6988</v>
      </c>
      <c r="J14" s="9" t="str">
        <f t="shared" si="4"/>
        <v>YES</v>
      </c>
      <c r="K14" s="9">
        <f t="shared" si="8"/>
        <v>100000</v>
      </c>
      <c r="L14" s="12">
        <f t="shared" si="5"/>
        <v>16143.680759399576</v>
      </c>
      <c r="M14" s="13" t="str">
        <f t="shared" si="6"/>
        <v>200</v>
      </c>
      <c r="N14" s="10">
        <f t="shared" si="7"/>
        <v>37473.319240600424</v>
      </c>
      <c r="O14" s="9" t="s">
        <v>75</v>
      </c>
    </row>
    <row r="15" spans="1:15">
      <c r="A15" s="9" t="s">
        <v>60</v>
      </c>
      <c r="B15" s="9" t="str">
        <f>RIGHT(A15,2)</f>
        <v>41</v>
      </c>
      <c r="C15" s="9">
        <v>1234568933</v>
      </c>
      <c r="D15" s="9" t="str">
        <f>LEFT(A15,LEN(A15)-2)</f>
        <v>KRUTARTH PUSHKARRAY BHATT</v>
      </c>
      <c r="E15" s="9" t="str">
        <f t="shared" si="2"/>
        <v>Admin41</v>
      </c>
      <c r="F15" s="9">
        <v>26728</v>
      </c>
      <c r="G15" s="10">
        <f t="shared" si="3"/>
        <v>13364</v>
      </c>
      <c r="H15" s="9">
        <v>7470</v>
      </c>
      <c r="I15" s="9">
        <v>7128</v>
      </c>
      <c r="J15" s="9" t="str">
        <f t="shared" si="4"/>
        <v>YES</v>
      </c>
      <c r="K15" s="9">
        <f t="shared" si="8"/>
        <v>100000</v>
      </c>
      <c r="L15" s="12">
        <f t="shared" si="5"/>
        <v>16143.680759399576</v>
      </c>
      <c r="M15" s="13" t="str">
        <f t="shared" si="6"/>
        <v>200</v>
      </c>
      <c r="N15" s="10">
        <f t="shared" si="7"/>
        <v>38546.319240600424</v>
      </c>
      <c r="O15" s="9" t="s">
        <v>74</v>
      </c>
    </row>
    <row r="16" spans="1:15">
      <c r="A16" s="9" t="s">
        <v>78</v>
      </c>
      <c r="B16" s="9" t="str">
        <f>RIGHT(A16,1)</f>
        <v>1</v>
      </c>
      <c r="C16" s="9">
        <v>1234568934</v>
      </c>
      <c r="D16" s="9" t="str">
        <f t="shared" ref="D16:D23" si="9">LEFT(A16,LEN(A16)-1)</f>
        <v>RATNAPRABHA B DAVE</v>
      </c>
      <c r="E16" s="9" t="str">
        <f t="shared" si="2"/>
        <v>HR1</v>
      </c>
      <c r="F16" s="9">
        <v>15260</v>
      </c>
      <c r="G16" s="10">
        <f t="shared" si="3"/>
        <v>7630</v>
      </c>
      <c r="H16" s="9">
        <v>7619</v>
      </c>
      <c r="I16" s="9">
        <v>7270</v>
      </c>
      <c r="J16" s="9" t="str">
        <f t="shared" si="4"/>
        <v>NO</v>
      </c>
      <c r="K16" s="9" t="str">
        <f t="shared" si="8"/>
        <v xml:space="preserve">SORRY YOU ARE  NOT ELIGIBLE FOR LOAN </v>
      </c>
      <c r="L16" s="12"/>
      <c r="M16" s="13" t="str">
        <f t="shared" si="6"/>
        <v>100</v>
      </c>
      <c r="N16" s="10">
        <f t="shared" si="7"/>
        <v>37779</v>
      </c>
      <c r="O16" s="9" t="s">
        <v>65</v>
      </c>
    </row>
    <row r="17" spans="1:15">
      <c r="A17" s="9" t="s">
        <v>79</v>
      </c>
      <c r="B17" s="9" t="str">
        <f t="shared" ref="B17:B23" si="10">RIGHT(A17,1)</f>
        <v>2</v>
      </c>
      <c r="C17" s="9">
        <v>1234568935</v>
      </c>
      <c r="D17" s="9" t="str">
        <f t="shared" si="9"/>
        <v>ASIF H MOKAMJIWALA</v>
      </c>
      <c r="E17" s="9" t="str">
        <f t="shared" si="2"/>
        <v>Finance2</v>
      </c>
      <c r="F17" s="9">
        <v>15565</v>
      </c>
      <c r="G17" s="10">
        <f t="shared" si="3"/>
        <v>7782.5</v>
      </c>
      <c r="H17" s="9">
        <v>7772</v>
      </c>
      <c r="I17" s="9">
        <v>7415</v>
      </c>
      <c r="J17" s="9" t="str">
        <f t="shared" si="4"/>
        <v>NO</v>
      </c>
      <c r="K17" s="9" t="str">
        <f t="shared" si="8"/>
        <v xml:space="preserve">SORRY YOU ARE  NOT ELIGIBLE FOR LOAN </v>
      </c>
      <c r="L17" s="12"/>
      <c r="M17" s="13" t="str">
        <f t="shared" si="6"/>
        <v>100</v>
      </c>
      <c r="N17" s="10">
        <f t="shared" si="7"/>
        <v>38534.5</v>
      </c>
      <c r="O17" s="9" t="s">
        <v>75</v>
      </c>
    </row>
    <row r="18" spans="1:15">
      <c r="A18" s="9" t="s">
        <v>80</v>
      </c>
      <c r="B18" s="9" t="str">
        <f t="shared" si="10"/>
        <v>1</v>
      </c>
      <c r="C18" s="9">
        <v>1234568936</v>
      </c>
      <c r="D18" s="9" t="str">
        <f t="shared" si="9"/>
        <v>VARSHA DHANVANT THACKER</v>
      </c>
      <c r="E18" s="9" t="str">
        <f t="shared" si="2"/>
        <v>Account1</v>
      </c>
      <c r="F18" s="9">
        <v>24580</v>
      </c>
      <c r="G18" s="10">
        <f t="shared" si="3"/>
        <v>12290</v>
      </c>
      <c r="H18" s="9">
        <v>7927</v>
      </c>
      <c r="I18" s="9">
        <v>7564</v>
      </c>
      <c r="J18" s="9" t="str">
        <f t="shared" si="4"/>
        <v>NO</v>
      </c>
      <c r="K18" s="9" t="str">
        <f t="shared" si="8"/>
        <v xml:space="preserve">SORRY YOU ARE  NOT ELIGIBLE FOR LOAN </v>
      </c>
      <c r="L18" s="12"/>
      <c r="M18" s="13" t="str">
        <f t="shared" si="6"/>
        <v>100</v>
      </c>
      <c r="N18" s="10">
        <f t="shared" si="7"/>
        <v>52361</v>
      </c>
      <c r="O18" s="9" t="s">
        <v>73</v>
      </c>
    </row>
    <row r="19" spans="1:15">
      <c r="A19" s="9" t="s">
        <v>81</v>
      </c>
      <c r="B19" s="9" t="str">
        <f t="shared" si="10"/>
        <v>7</v>
      </c>
      <c r="C19" s="9">
        <v>1234568937</v>
      </c>
      <c r="D19" s="9" t="str">
        <f t="shared" si="9"/>
        <v>MANSURI ILIYAS RASULBHAI</v>
      </c>
      <c r="E19" s="9" t="str">
        <f t="shared" si="2"/>
        <v>Sales7</v>
      </c>
      <c r="F19" s="9">
        <v>25072</v>
      </c>
      <c r="G19" s="10">
        <f t="shared" si="3"/>
        <v>12536</v>
      </c>
      <c r="H19" s="9">
        <v>8086</v>
      </c>
      <c r="I19" s="9">
        <v>7715</v>
      </c>
      <c r="J19" s="9" t="str">
        <f t="shared" si="4"/>
        <v>YES</v>
      </c>
      <c r="K19" s="9">
        <f t="shared" si="8"/>
        <v>100000</v>
      </c>
      <c r="L19" s="12">
        <f t="shared" si="5"/>
        <v>16143.680759399576</v>
      </c>
      <c r="M19" s="13" t="str">
        <f t="shared" si="6"/>
        <v>200</v>
      </c>
      <c r="N19" s="10">
        <f t="shared" si="7"/>
        <v>37265.319240600424</v>
      </c>
      <c r="O19" s="9" t="s">
        <v>77</v>
      </c>
    </row>
    <row r="20" spans="1:15">
      <c r="A20" s="9" t="s">
        <v>82</v>
      </c>
      <c r="B20" s="9" t="str">
        <f t="shared" si="10"/>
        <v>5</v>
      </c>
      <c r="C20" s="9">
        <v>1234568938</v>
      </c>
      <c r="D20" s="9" t="str">
        <f t="shared" si="9"/>
        <v>HASMUKH VADILAL DOSHI</v>
      </c>
      <c r="E20" s="9" t="str">
        <f t="shared" si="2"/>
        <v>Admin5</v>
      </c>
      <c r="F20" s="9">
        <v>25573</v>
      </c>
      <c r="G20" s="10">
        <f t="shared" si="3"/>
        <v>12786.5</v>
      </c>
      <c r="H20" s="9">
        <v>8247</v>
      </c>
      <c r="I20" s="9">
        <v>7869</v>
      </c>
      <c r="J20" s="9" t="str">
        <f t="shared" si="4"/>
        <v>YES</v>
      </c>
      <c r="K20" s="9">
        <f t="shared" si="8"/>
        <v>100000</v>
      </c>
      <c r="L20" s="12">
        <f t="shared" si="5"/>
        <v>16143.680759399576</v>
      </c>
      <c r="M20" s="13" t="str">
        <f t="shared" si="6"/>
        <v>200</v>
      </c>
      <c r="N20" s="10">
        <f t="shared" si="7"/>
        <v>38331.819240600424</v>
      </c>
      <c r="O20" s="9" t="s">
        <v>74</v>
      </c>
    </row>
    <row r="21" spans="1:15">
      <c r="A21" s="9" t="s">
        <v>83</v>
      </c>
      <c r="B21" s="9" t="str">
        <f t="shared" si="10"/>
        <v>6</v>
      </c>
      <c r="C21" s="9">
        <v>1234568939</v>
      </c>
      <c r="D21" s="9" t="str">
        <f t="shared" si="9"/>
        <v>JAYSHREE RAJESHBHAI SURATI</v>
      </c>
      <c r="E21" s="9" t="str">
        <f t="shared" si="2"/>
        <v>Finance6</v>
      </c>
      <c r="F21" s="9">
        <v>26084</v>
      </c>
      <c r="G21" s="10">
        <f t="shared" si="3"/>
        <v>13042</v>
      </c>
      <c r="H21" s="9">
        <v>8412</v>
      </c>
      <c r="I21" s="9">
        <v>8027</v>
      </c>
      <c r="J21" s="9" t="str">
        <f t="shared" si="4"/>
        <v>YES</v>
      </c>
      <c r="K21" s="9">
        <f t="shared" si="8"/>
        <v>100000</v>
      </c>
      <c r="L21" s="12">
        <f t="shared" si="5"/>
        <v>16143.680759399576</v>
      </c>
      <c r="M21" s="13" t="str">
        <f t="shared" si="6"/>
        <v>200</v>
      </c>
      <c r="N21" s="10">
        <f t="shared" si="7"/>
        <v>39421.319240600424</v>
      </c>
      <c r="O21" s="9" t="s">
        <v>75</v>
      </c>
    </row>
    <row r="22" spans="1:15">
      <c r="A22" s="9" t="s">
        <v>84</v>
      </c>
      <c r="B22" s="9" t="str">
        <f t="shared" si="10"/>
        <v>4</v>
      </c>
      <c r="C22" s="9">
        <v>1234568940</v>
      </c>
      <c r="D22" s="9" t="str">
        <f t="shared" si="9"/>
        <v>DIPIKA PARESH GAJJAR</v>
      </c>
      <c r="E22" s="9" t="str">
        <f t="shared" si="2"/>
        <v>Account4</v>
      </c>
      <c r="F22" s="9">
        <v>26606</v>
      </c>
      <c r="G22" s="10">
        <f t="shared" si="3"/>
        <v>13303</v>
      </c>
      <c r="H22" s="9">
        <v>8581</v>
      </c>
      <c r="I22" s="9">
        <v>8187</v>
      </c>
      <c r="J22" s="9" t="str">
        <f t="shared" si="4"/>
        <v>YES</v>
      </c>
      <c r="K22" s="9">
        <f t="shared" si="8"/>
        <v>100000</v>
      </c>
      <c r="L22" s="12">
        <f t="shared" si="5"/>
        <v>16143.680759399576</v>
      </c>
      <c r="M22" s="13" t="str">
        <f t="shared" si="6"/>
        <v>200</v>
      </c>
      <c r="N22" s="10">
        <f t="shared" si="7"/>
        <v>40533.319240600424</v>
      </c>
      <c r="O22" s="9" t="s">
        <v>73</v>
      </c>
    </row>
    <row r="23" spans="1:15">
      <c r="A23" s="9" t="s">
        <v>85</v>
      </c>
      <c r="B23" s="9" t="str">
        <f t="shared" si="10"/>
        <v>1</v>
      </c>
      <c r="C23" s="9">
        <v>1234568941</v>
      </c>
      <c r="D23" s="9" t="str">
        <f t="shared" si="9"/>
        <v>VINODBHAI RAMANLAL GAJJAR HUF</v>
      </c>
      <c r="E23" s="9" t="str">
        <f t="shared" si="2"/>
        <v>Sales1</v>
      </c>
      <c r="F23" s="9">
        <v>27138</v>
      </c>
      <c r="G23" s="10">
        <f t="shared" si="3"/>
        <v>13569</v>
      </c>
      <c r="H23" s="9">
        <v>8752</v>
      </c>
      <c r="I23" s="9">
        <v>8315</v>
      </c>
      <c r="J23" s="9" t="str">
        <f t="shared" si="4"/>
        <v>YES</v>
      </c>
      <c r="K23" s="9">
        <f t="shared" si="8"/>
        <v>100000</v>
      </c>
      <c r="L23" s="12">
        <f t="shared" si="5"/>
        <v>16143.680759399576</v>
      </c>
      <c r="M23" s="13" t="str">
        <f t="shared" si="6"/>
        <v>200</v>
      </c>
      <c r="N23" s="10">
        <f t="shared" si="7"/>
        <v>41630.319240600424</v>
      </c>
      <c r="O23" s="9" t="s">
        <v>77</v>
      </c>
    </row>
  </sheetData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6"/>
  <sheetViews>
    <sheetView zoomScaleNormal="100" workbookViewId="0">
      <selection activeCell="F7" sqref="F7"/>
    </sheetView>
  </sheetViews>
  <sheetFormatPr defaultRowHeight="14.25"/>
  <cols>
    <col min="1" max="1" width="5.375" bestFit="1" customWidth="1"/>
    <col min="2" max="2" width="18.25" bestFit="1" customWidth="1"/>
    <col min="3" max="3" width="8.875" bestFit="1" customWidth="1"/>
    <col min="4" max="4" width="11.25" bestFit="1" customWidth="1"/>
    <col min="5" max="5" width="14.625" bestFit="1" customWidth="1"/>
    <col min="6" max="6" width="13.625" bestFit="1" customWidth="1"/>
    <col min="7" max="7" width="11.875" bestFit="1" customWidth="1"/>
    <col min="8" max="8" width="14.125" bestFit="1" customWidth="1"/>
  </cols>
  <sheetData>
    <row r="1" spans="1:8">
      <c r="A1" s="14" t="s">
        <v>98</v>
      </c>
      <c r="B1" s="14" t="s">
        <v>86</v>
      </c>
      <c r="C1" s="14" t="s">
        <v>87</v>
      </c>
      <c r="D1" s="14" t="s">
        <v>88</v>
      </c>
      <c r="E1" s="14" t="s">
        <v>89</v>
      </c>
      <c r="F1" s="14" t="s">
        <v>90</v>
      </c>
      <c r="G1" s="16" t="s">
        <v>96</v>
      </c>
      <c r="H1" s="16" t="s">
        <v>97</v>
      </c>
    </row>
    <row r="2" spans="1:8">
      <c r="A2">
        <v>1</v>
      </c>
      <c r="B2" s="15" t="s">
        <v>91</v>
      </c>
      <c r="C2" s="15">
        <v>540000</v>
      </c>
      <c r="D2" s="15">
        <v>5</v>
      </c>
      <c r="E2" s="15">
        <v>10000</v>
      </c>
      <c r="F2" s="15">
        <v>106000</v>
      </c>
      <c r="G2" s="11">
        <f>SLN(C2,E2,D2)</f>
        <v>106000</v>
      </c>
      <c r="H2" s="11">
        <f>SYD(C2,E2,D2,A2)</f>
        <v>176666.66666666666</v>
      </c>
    </row>
    <row r="3" spans="1:8">
      <c r="A3">
        <v>2</v>
      </c>
      <c r="B3" s="15" t="s">
        <v>92</v>
      </c>
      <c r="C3" s="15">
        <v>700000</v>
      </c>
      <c r="D3" s="15">
        <v>10</v>
      </c>
      <c r="E3" s="15">
        <v>25000</v>
      </c>
      <c r="F3" s="15">
        <v>67500</v>
      </c>
      <c r="G3" s="11">
        <f t="shared" ref="G3:G6" si="0">SLN(C3,E3,D3)</f>
        <v>67500</v>
      </c>
      <c r="H3" s="11">
        <f t="shared" ref="H3:H6" si="1">SYD(C3,E3,D3,A3)</f>
        <v>110454.54545454546</v>
      </c>
    </row>
    <row r="4" spans="1:8">
      <c r="A4">
        <v>3</v>
      </c>
      <c r="B4" s="15" t="s">
        <v>93</v>
      </c>
      <c r="C4" s="15">
        <v>300000</v>
      </c>
      <c r="D4" s="15">
        <v>3</v>
      </c>
      <c r="E4" s="15">
        <v>3000</v>
      </c>
      <c r="F4" s="15">
        <v>99000</v>
      </c>
      <c r="G4" s="11">
        <f t="shared" si="0"/>
        <v>99000</v>
      </c>
      <c r="H4" s="11">
        <f t="shared" si="1"/>
        <v>49500</v>
      </c>
    </row>
    <row r="5" spans="1:8">
      <c r="A5">
        <v>4</v>
      </c>
      <c r="B5" s="15" t="s">
        <v>94</v>
      </c>
      <c r="C5" s="15">
        <v>250000</v>
      </c>
      <c r="D5" s="15">
        <v>4</v>
      </c>
      <c r="E5" s="15">
        <v>2000</v>
      </c>
      <c r="F5" s="15">
        <v>62000</v>
      </c>
      <c r="G5" s="11">
        <f t="shared" si="0"/>
        <v>62000</v>
      </c>
      <c r="H5" s="11">
        <f t="shared" si="1"/>
        <v>24800</v>
      </c>
    </row>
    <row r="6" spans="1:8">
      <c r="A6">
        <v>5</v>
      </c>
      <c r="B6" s="15" t="s">
        <v>95</v>
      </c>
      <c r="C6" s="15">
        <v>900000</v>
      </c>
      <c r="D6" s="15">
        <v>8</v>
      </c>
      <c r="E6" s="15">
        <v>5000</v>
      </c>
      <c r="F6" s="15">
        <v>111875</v>
      </c>
      <c r="G6" s="11">
        <f t="shared" si="0"/>
        <v>111875</v>
      </c>
      <c r="H6" s="11">
        <f t="shared" si="1"/>
        <v>99444.444444444438</v>
      </c>
    </row>
  </sheetData>
  <pageMargins left="0.7" right="0.7" top="0.75" bottom="0.75" header="0.3" footer="0.3"/>
  <pageSetup orientation="portrait" horizontalDpi="300" verticalDpi="300" r:id="rId1"/>
  <headerFooter>
    <oddHeader>&amp;C&amp;Z&amp;F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14"/>
  <sheetViews>
    <sheetView workbookViewId="0">
      <selection activeCell="J19" sqref="J19"/>
    </sheetView>
  </sheetViews>
  <sheetFormatPr defaultRowHeight="14.25"/>
  <cols>
    <col min="8" max="8" width="14.875" bestFit="1" customWidth="1"/>
    <col min="9" max="9" width="9.625" bestFit="1" customWidth="1"/>
    <col min="10" max="10" width="11.25" bestFit="1" customWidth="1"/>
  </cols>
  <sheetData>
    <row r="1" spans="1:10">
      <c r="A1" s="6" t="s">
        <v>38</v>
      </c>
      <c r="B1" s="6" t="s">
        <v>103</v>
      </c>
      <c r="C1" s="6" t="s">
        <v>105</v>
      </c>
    </row>
    <row r="2" spans="1:10">
      <c r="A2" s="42">
        <v>45293</v>
      </c>
      <c r="B2" s="3" t="s">
        <v>104</v>
      </c>
      <c r="C2" s="3">
        <v>12</v>
      </c>
      <c r="H2" s="1" t="s">
        <v>106</v>
      </c>
      <c r="I2" s="1" t="s">
        <v>103</v>
      </c>
    </row>
    <row r="3" spans="1:10">
      <c r="A3" s="42">
        <v>45294</v>
      </c>
      <c r="B3" s="3" t="s">
        <v>104</v>
      </c>
      <c r="C3" s="3">
        <v>20</v>
      </c>
      <c r="H3" s="1" t="s">
        <v>38</v>
      </c>
      <c r="I3" t="s">
        <v>104</v>
      </c>
      <c r="J3" t="s">
        <v>14</v>
      </c>
    </row>
    <row r="4" spans="1:10">
      <c r="A4" s="42">
        <v>45295</v>
      </c>
      <c r="B4" s="3" t="s">
        <v>104</v>
      </c>
      <c r="C4" s="3">
        <v>30</v>
      </c>
      <c r="H4" s="41">
        <v>45293</v>
      </c>
      <c r="I4">
        <v>12</v>
      </c>
      <c r="J4">
        <v>12</v>
      </c>
    </row>
    <row r="5" spans="1:10">
      <c r="A5" s="42">
        <v>45296</v>
      </c>
      <c r="B5" s="3" t="s">
        <v>104</v>
      </c>
      <c r="C5" s="3">
        <v>45</v>
      </c>
      <c r="H5" s="41">
        <v>45294</v>
      </c>
      <c r="I5">
        <v>20</v>
      </c>
      <c r="J5">
        <v>20</v>
      </c>
    </row>
    <row r="6" spans="1:10">
      <c r="A6" s="42">
        <v>45297</v>
      </c>
      <c r="B6" s="3" t="s">
        <v>104</v>
      </c>
      <c r="C6" s="3">
        <v>60</v>
      </c>
      <c r="H6" s="41">
        <v>45295</v>
      </c>
      <c r="I6">
        <v>30</v>
      </c>
      <c r="J6">
        <v>30</v>
      </c>
    </row>
    <row r="7" spans="1:10">
      <c r="A7" s="42">
        <v>45298</v>
      </c>
      <c r="B7" s="3" t="s">
        <v>104</v>
      </c>
      <c r="C7" s="3">
        <v>70</v>
      </c>
      <c r="H7" s="41">
        <v>45296</v>
      </c>
      <c r="I7">
        <v>45</v>
      </c>
      <c r="J7">
        <v>45</v>
      </c>
    </row>
    <row r="8" spans="1:10">
      <c r="A8" s="42">
        <v>45299</v>
      </c>
      <c r="B8" s="3" t="s">
        <v>104</v>
      </c>
      <c r="C8" s="3">
        <v>80</v>
      </c>
      <c r="H8" s="41">
        <v>45297</v>
      </c>
      <c r="I8">
        <v>60</v>
      </c>
      <c r="J8">
        <v>60</v>
      </c>
    </row>
    <row r="9" spans="1:10">
      <c r="A9" s="42">
        <v>45300</v>
      </c>
      <c r="B9" s="3" t="s">
        <v>104</v>
      </c>
      <c r="C9" s="3">
        <v>90</v>
      </c>
      <c r="H9" s="41">
        <v>45298</v>
      </c>
      <c r="I9">
        <v>70</v>
      </c>
      <c r="J9">
        <v>70</v>
      </c>
    </row>
    <row r="10" spans="1:10">
      <c r="A10" s="42">
        <v>45301</v>
      </c>
      <c r="B10" s="3" t="s">
        <v>104</v>
      </c>
      <c r="C10" s="3">
        <v>80</v>
      </c>
      <c r="H10" s="41">
        <v>45299</v>
      </c>
      <c r="I10">
        <v>80</v>
      </c>
      <c r="J10">
        <v>80</v>
      </c>
    </row>
    <row r="11" spans="1:10">
      <c r="A11" s="42">
        <v>45302</v>
      </c>
      <c r="B11" s="3" t="s">
        <v>104</v>
      </c>
      <c r="C11" s="3">
        <v>100</v>
      </c>
      <c r="H11" s="41">
        <v>45300</v>
      </c>
      <c r="I11">
        <v>90</v>
      </c>
      <c r="J11">
        <v>90</v>
      </c>
    </row>
    <row r="12" spans="1:10">
      <c r="A12" s="41"/>
      <c r="H12" s="41">
        <v>45301</v>
      </c>
      <c r="I12">
        <v>80</v>
      </c>
      <c r="J12">
        <v>80</v>
      </c>
    </row>
    <row r="13" spans="1:10">
      <c r="A13" s="41"/>
      <c r="H13" s="41">
        <v>45302</v>
      </c>
      <c r="I13">
        <v>100</v>
      </c>
      <c r="J13">
        <v>100</v>
      </c>
    </row>
    <row r="14" spans="1:10">
      <c r="H14" s="41" t="s">
        <v>14</v>
      </c>
      <c r="I14">
        <v>587</v>
      </c>
      <c r="J14">
        <v>587</v>
      </c>
    </row>
  </sheetData>
  <conditionalFormatting pivot="1" sqref="I4:I10 I12">
    <cfRule type="cellIs" dxfId="7" priority="1" operator="greaterThan">
      <formula>80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28"/>
  <sheetViews>
    <sheetView workbookViewId="0">
      <selection activeCell="M10" sqref="M10"/>
    </sheetView>
  </sheetViews>
  <sheetFormatPr defaultRowHeight="14.25" outlineLevelRow="2"/>
  <cols>
    <col min="1" max="1" width="10" customWidth="1"/>
    <col min="2" max="2" width="11.875" customWidth="1"/>
    <col min="3" max="3" width="16" customWidth="1"/>
    <col min="4" max="4" width="10.875" customWidth="1"/>
    <col min="5" max="5" width="15.875" customWidth="1"/>
    <col min="6" max="6" width="13.875" customWidth="1"/>
    <col min="8" max="8" width="17" customWidth="1"/>
    <col min="9" max="9" width="12.875" customWidth="1"/>
    <col min="10" max="10" width="18.25" customWidth="1"/>
    <col min="11" max="11" width="10" customWidth="1"/>
  </cols>
  <sheetData>
    <row r="1" spans="1:11">
      <c r="A1" s="20" t="s">
        <v>0</v>
      </c>
      <c r="B1" s="21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1" t="s">
        <v>6</v>
      </c>
      <c r="H1" s="21" t="s">
        <v>7</v>
      </c>
      <c r="I1" s="21" t="s">
        <v>8</v>
      </c>
      <c r="J1" s="21" t="s">
        <v>9</v>
      </c>
      <c r="K1" s="22" t="s">
        <v>10</v>
      </c>
    </row>
    <row r="2" spans="1:11" outlineLevel="2">
      <c r="A2" s="23">
        <v>1000001</v>
      </c>
      <c r="B2" s="24">
        <v>38723</v>
      </c>
      <c r="C2" s="25">
        <v>111</v>
      </c>
      <c r="D2" s="26">
        <v>41500</v>
      </c>
      <c r="E2" s="27">
        <v>5</v>
      </c>
      <c r="F2" s="26">
        <v>5.99</v>
      </c>
      <c r="G2" s="26">
        <v>150</v>
      </c>
      <c r="H2" s="28">
        <v>898.5</v>
      </c>
      <c r="I2" s="26">
        <v>89.85</v>
      </c>
      <c r="J2" s="26">
        <v>988.35</v>
      </c>
      <c r="K2" s="29" t="s">
        <v>12</v>
      </c>
    </row>
    <row r="3" spans="1:11" outlineLevel="2">
      <c r="A3" s="30">
        <v>1000002</v>
      </c>
      <c r="B3" s="31">
        <v>38726</v>
      </c>
      <c r="C3" s="32">
        <v>125</v>
      </c>
      <c r="D3" s="33">
        <v>30501</v>
      </c>
      <c r="E3" s="34">
        <v>5</v>
      </c>
      <c r="F3" s="33">
        <v>5.99</v>
      </c>
      <c r="G3" s="33">
        <v>40</v>
      </c>
      <c r="H3" s="35">
        <v>239.6</v>
      </c>
      <c r="I3" s="33">
        <v>19</v>
      </c>
      <c r="J3" s="33">
        <v>263.56</v>
      </c>
      <c r="K3" s="36" t="s">
        <v>12</v>
      </c>
    </row>
    <row r="4" spans="1:11" outlineLevel="2">
      <c r="A4" s="23">
        <v>1000003</v>
      </c>
      <c r="B4" s="24">
        <v>38726</v>
      </c>
      <c r="C4" s="25">
        <v>116</v>
      </c>
      <c r="D4" s="26">
        <v>92324</v>
      </c>
      <c r="E4" s="27">
        <v>5</v>
      </c>
      <c r="F4" s="26">
        <v>5.99</v>
      </c>
      <c r="G4" s="26">
        <v>580</v>
      </c>
      <c r="H4" s="28">
        <v>3474.2</v>
      </c>
      <c r="I4" s="26">
        <v>347.42</v>
      </c>
      <c r="J4" s="26">
        <v>3821.62</v>
      </c>
      <c r="K4" s="29" t="s">
        <v>12</v>
      </c>
    </row>
    <row r="5" spans="1:11" outlineLevel="2">
      <c r="A5" s="30">
        <v>1000004</v>
      </c>
      <c r="B5" s="31">
        <v>38727</v>
      </c>
      <c r="C5" s="32">
        <v>103</v>
      </c>
      <c r="D5" s="33">
        <v>41218</v>
      </c>
      <c r="E5" s="34">
        <v>5</v>
      </c>
      <c r="F5" s="33">
        <v>5.99</v>
      </c>
      <c r="G5" s="33">
        <v>139</v>
      </c>
      <c r="H5" s="35">
        <v>832.61</v>
      </c>
      <c r="I5" s="33">
        <v>83.26</v>
      </c>
      <c r="J5" s="33">
        <v>915.87</v>
      </c>
      <c r="K5" s="36" t="s">
        <v>12</v>
      </c>
    </row>
    <row r="6" spans="1:11" outlineLevel="2">
      <c r="A6" s="23">
        <v>1000005</v>
      </c>
      <c r="B6" s="24">
        <v>38733</v>
      </c>
      <c r="C6" s="25">
        <v>117</v>
      </c>
      <c r="D6" s="26">
        <v>92326</v>
      </c>
      <c r="E6" s="27">
        <v>5</v>
      </c>
      <c r="F6" s="26">
        <v>5.99</v>
      </c>
      <c r="G6" s="26">
        <v>106</v>
      </c>
      <c r="H6" s="28">
        <v>634.94000000000005</v>
      </c>
      <c r="I6" s="26">
        <v>63.49</v>
      </c>
      <c r="J6" s="26">
        <v>698.43</v>
      </c>
      <c r="K6" s="29" t="s">
        <v>12</v>
      </c>
    </row>
    <row r="7" spans="1:11" outlineLevel="2">
      <c r="A7" s="30">
        <v>1000006</v>
      </c>
      <c r="B7" s="31">
        <v>38733</v>
      </c>
      <c r="C7" s="32">
        <v>112</v>
      </c>
      <c r="D7" s="33">
        <v>60703</v>
      </c>
      <c r="E7" s="34">
        <v>5</v>
      </c>
      <c r="F7" s="33">
        <v>5.99</v>
      </c>
      <c r="G7" s="33">
        <v>43</v>
      </c>
      <c r="H7" s="35">
        <v>257.57</v>
      </c>
      <c r="I7" s="33">
        <v>25.76</v>
      </c>
      <c r="J7" s="33">
        <v>283.33</v>
      </c>
      <c r="K7" s="36" t="s">
        <v>12</v>
      </c>
    </row>
    <row r="8" spans="1:11" outlineLevel="2">
      <c r="A8" s="23">
        <v>1000007</v>
      </c>
      <c r="B8" s="24">
        <v>38733</v>
      </c>
      <c r="C8" s="25">
        <v>124</v>
      </c>
      <c r="D8" s="26">
        <v>20108</v>
      </c>
      <c r="E8" s="27">
        <v>5</v>
      </c>
      <c r="F8" s="26">
        <v>5.99</v>
      </c>
      <c r="G8" s="26">
        <v>1570</v>
      </c>
      <c r="H8" s="28">
        <v>9404.2999999999993</v>
      </c>
      <c r="I8" s="26">
        <v>940.43</v>
      </c>
      <c r="J8" s="26">
        <v>10344.73</v>
      </c>
      <c r="K8" s="29" t="s">
        <v>12</v>
      </c>
    </row>
    <row r="9" spans="1:11" outlineLevel="2">
      <c r="A9" s="30">
        <v>1000008</v>
      </c>
      <c r="B9" s="31">
        <v>38735</v>
      </c>
      <c r="C9" s="32">
        <v>114</v>
      </c>
      <c r="D9" s="33">
        <v>21098</v>
      </c>
      <c r="E9" s="34">
        <v>5</v>
      </c>
      <c r="F9" s="33">
        <v>5.99</v>
      </c>
      <c r="G9" s="33">
        <v>2605</v>
      </c>
      <c r="H9" s="35">
        <v>15603.95</v>
      </c>
      <c r="I9" s="33">
        <v>1560.4</v>
      </c>
      <c r="J9" s="33">
        <v>17164.349999999999</v>
      </c>
      <c r="K9" s="36" t="s">
        <v>12</v>
      </c>
    </row>
    <row r="10" spans="1:11" outlineLevel="2">
      <c r="A10" s="23">
        <v>1000009</v>
      </c>
      <c r="B10" s="24">
        <v>38740</v>
      </c>
      <c r="C10" s="25">
        <v>122</v>
      </c>
      <c r="D10" s="26">
        <v>40617</v>
      </c>
      <c r="E10" s="27">
        <v>5</v>
      </c>
      <c r="F10" s="26">
        <v>5.99</v>
      </c>
      <c r="G10" s="26">
        <v>190</v>
      </c>
      <c r="H10" s="26" t="s">
        <v>11</v>
      </c>
      <c r="I10" s="26">
        <v>113.81</v>
      </c>
      <c r="J10" s="26">
        <v>1251.9100000000001</v>
      </c>
      <c r="K10" s="29" t="s">
        <v>12</v>
      </c>
    </row>
    <row r="11" spans="1:11" outlineLevel="2">
      <c r="A11" s="30">
        <v>1000010</v>
      </c>
      <c r="B11" s="31">
        <v>38740</v>
      </c>
      <c r="C11" s="32">
        <v>125</v>
      </c>
      <c r="D11" s="33">
        <v>11702</v>
      </c>
      <c r="E11" s="34">
        <v>5</v>
      </c>
      <c r="F11" s="33">
        <v>5.99</v>
      </c>
      <c r="G11" s="33">
        <v>80</v>
      </c>
      <c r="H11" s="35">
        <v>479.2</v>
      </c>
      <c r="I11" s="33">
        <v>47.92</v>
      </c>
      <c r="J11" s="33">
        <v>527.12</v>
      </c>
      <c r="K11" s="36" t="s">
        <v>12</v>
      </c>
    </row>
    <row r="12" spans="1:11" outlineLevel="2">
      <c r="A12" s="23">
        <v>1000011</v>
      </c>
      <c r="B12" s="24">
        <v>38740</v>
      </c>
      <c r="C12" s="25">
        <v>118</v>
      </c>
      <c r="D12" s="26">
        <v>60300</v>
      </c>
      <c r="E12" s="27">
        <v>5</v>
      </c>
      <c r="F12" s="26">
        <v>5.99</v>
      </c>
      <c r="G12" s="26">
        <v>100</v>
      </c>
      <c r="H12" s="28">
        <v>599</v>
      </c>
      <c r="I12" s="26">
        <v>59.9</v>
      </c>
      <c r="J12" s="26">
        <v>658.9</v>
      </c>
      <c r="K12" s="29" t="s">
        <v>12</v>
      </c>
    </row>
    <row r="13" spans="1:11" outlineLevel="2">
      <c r="A13" s="30">
        <v>1000012</v>
      </c>
      <c r="B13" s="31">
        <v>38747</v>
      </c>
      <c r="C13" s="32">
        <v>125</v>
      </c>
      <c r="D13" s="33">
        <v>11400</v>
      </c>
      <c r="E13" s="34">
        <v>5</v>
      </c>
      <c r="F13" s="33">
        <v>5.99</v>
      </c>
      <c r="G13" s="33">
        <v>40</v>
      </c>
      <c r="H13" s="35">
        <v>239.6</v>
      </c>
      <c r="I13" s="33">
        <v>23.96</v>
      </c>
      <c r="J13" s="33">
        <v>263.56</v>
      </c>
      <c r="K13" s="36" t="s">
        <v>12</v>
      </c>
    </row>
    <row r="14" spans="1:11" outlineLevel="2">
      <c r="A14" s="23">
        <v>1000013</v>
      </c>
      <c r="B14" s="24">
        <v>38747</v>
      </c>
      <c r="C14" s="25">
        <v>103</v>
      </c>
      <c r="D14" s="26">
        <v>10134</v>
      </c>
      <c r="E14" s="27">
        <v>5</v>
      </c>
      <c r="F14" s="26">
        <v>5.99</v>
      </c>
      <c r="G14" s="26">
        <v>1587</v>
      </c>
      <c r="H14" s="28">
        <v>9506.1299999999992</v>
      </c>
      <c r="I14" s="26">
        <v>950.61</v>
      </c>
      <c r="J14" s="26">
        <v>10456.74</v>
      </c>
      <c r="K14" s="29" t="s">
        <v>12</v>
      </c>
    </row>
    <row r="15" spans="1:11" outlineLevel="2">
      <c r="A15" s="30">
        <v>1000014</v>
      </c>
      <c r="B15" s="31">
        <v>38747</v>
      </c>
      <c r="C15" s="32">
        <v>107</v>
      </c>
      <c r="D15" s="33">
        <v>40205</v>
      </c>
      <c r="E15" s="34">
        <v>5</v>
      </c>
      <c r="F15" s="33">
        <v>5.99</v>
      </c>
      <c r="G15" s="33">
        <v>171</v>
      </c>
      <c r="H15" s="35">
        <v>1024.29</v>
      </c>
      <c r="I15" s="33">
        <v>102.43</v>
      </c>
      <c r="J15" s="33">
        <v>1126.72</v>
      </c>
      <c r="K15" s="36" t="s">
        <v>12</v>
      </c>
    </row>
    <row r="16" spans="1:11" outlineLevel="2">
      <c r="A16" s="23">
        <v>1000015</v>
      </c>
      <c r="B16" s="24">
        <v>38747</v>
      </c>
      <c r="C16" s="25">
        <v>104</v>
      </c>
      <c r="D16" s="26">
        <v>21052</v>
      </c>
      <c r="E16" s="27">
        <v>5</v>
      </c>
      <c r="F16" s="26">
        <v>5.99</v>
      </c>
      <c r="G16" s="26">
        <v>656</v>
      </c>
      <c r="H16" s="28">
        <v>3929.44</v>
      </c>
      <c r="I16" s="26">
        <v>392.94</v>
      </c>
      <c r="J16" s="26">
        <v>4322.38</v>
      </c>
      <c r="K16" s="29" t="s">
        <v>12</v>
      </c>
    </row>
    <row r="17" spans="1:11" outlineLevel="1">
      <c r="A17" s="23"/>
      <c r="B17" s="24"/>
      <c r="C17" s="25"/>
      <c r="D17" s="26"/>
      <c r="E17" s="27"/>
      <c r="F17" s="26"/>
      <c r="G17" s="26"/>
      <c r="H17" s="28">
        <f>SUBTOTAL(9,H2:H16)</f>
        <v>47123.33</v>
      </c>
      <c r="I17" s="26">
        <f>SUBTOTAL(9,I2:I16)</f>
        <v>4821.18</v>
      </c>
      <c r="J17" s="26">
        <f>SUBTOTAL(9,J2:J16)</f>
        <v>53087.57</v>
      </c>
      <c r="K17" s="49" t="s">
        <v>15</v>
      </c>
    </row>
    <row r="18" spans="1:11" outlineLevel="2">
      <c r="A18" s="30">
        <v>1000016</v>
      </c>
      <c r="B18" s="31">
        <v>38749</v>
      </c>
      <c r="C18" s="32">
        <v>125</v>
      </c>
      <c r="D18" s="33">
        <v>25354</v>
      </c>
      <c r="E18" s="34">
        <v>5</v>
      </c>
      <c r="F18" s="33">
        <v>5.99</v>
      </c>
      <c r="G18" s="33">
        <v>300</v>
      </c>
      <c r="H18" s="35">
        <v>1797</v>
      </c>
      <c r="I18" s="33">
        <v>179.7</v>
      </c>
      <c r="J18" s="33">
        <v>1976.7</v>
      </c>
      <c r="K18" s="36" t="s">
        <v>13</v>
      </c>
    </row>
    <row r="19" spans="1:11" outlineLevel="2">
      <c r="A19" s="23">
        <v>1000017</v>
      </c>
      <c r="B19" s="24">
        <v>38750</v>
      </c>
      <c r="C19" s="25">
        <v>102</v>
      </c>
      <c r="D19" s="26">
        <v>21466</v>
      </c>
      <c r="E19" s="27">
        <v>5</v>
      </c>
      <c r="F19" s="26">
        <v>5.99</v>
      </c>
      <c r="G19" s="26">
        <v>1200</v>
      </c>
      <c r="H19" s="28">
        <v>7188</v>
      </c>
      <c r="I19" s="26">
        <v>718.8</v>
      </c>
      <c r="J19" s="26">
        <v>7906.8</v>
      </c>
      <c r="K19" s="29" t="s">
        <v>13</v>
      </c>
    </row>
    <row r="20" spans="1:11" outlineLevel="2">
      <c r="A20" s="30">
        <v>1000018</v>
      </c>
      <c r="B20" s="31">
        <v>38750</v>
      </c>
      <c r="C20" s="32">
        <v>116</v>
      </c>
      <c r="D20" s="33">
        <v>92324</v>
      </c>
      <c r="E20" s="34">
        <v>5</v>
      </c>
      <c r="F20" s="33">
        <v>5.99</v>
      </c>
      <c r="G20" s="33">
        <v>141</v>
      </c>
      <c r="H20" s="35">
        <v>844.59</v>
      </c>
      <c r="I20" s="33">
        <v>84.46</v>
      </c>
      <c r="J20" s="33">
        <v>929.05</v>
      </c>
      <c r="K20" s="36" t="s">
        <v>13</v>
      </c>
    </row>
    <row r="21" spans="1:11" outlineLevel="2">
      <c r="A21" s="23">
        <v>1000019</v>
      </c>
      <c r="B21" s="24">
        <v>38750</v>
      </c>
      <c r="C21" s="25">
        <v>118</v>
      </c>
      <c r="D21" s="26">
        <v>60300</v>
      </c>
      <c r="E21" s="27">
        <v>5</v>
      </c>
      <c r="F21" s="26">
        <v>5.99</v>
      </c>
      <c r="G21" s="26">
        <v>110</v>
      </c>
      <c r="H21" s="28">
        <v>658.9</v>
      </c>
      <c r="I21" s="26">
        <v>65.89</v>
      </c>
      <c r="J21" s="26">
        <v>724.79</v>
      </c>
      <c r="K21" s="29" t="s">
        <v>13</v>
      </c>
    </row>
    <row r="22" spans="1:11" outlineLevel="2">
      <c r="A22" s="30">
        <v>1000020</v>
      </c>
      <c r="B22" s="31">
        <v>38751</v>
      </c>
      <c r="C22" s="32">
        <v>127</v>
      </c>
      <c r="D22" s="33">
        <v>20981</v>
      </c>
      <c r="E22" s="34">
        <v>5</v>
      </c>
      <c r="F22" s="33">
        <v>5.99</v>
      </c>
      <c r="G22" s="33">
        <v>560</v>
      </c>
      <c r="H22" s="35">
        <v>3354.4</v>
      </c>
      <c r="I22" s="33">
        <v>335.44</v>
      </c>
      <c r="J22" s="33">
        <v>3689.84</v>
      </c>
      <c r="K22" s="36" t="s">
        <v>13</v>
      </c>
    </row>
    <row r="23" spans="1:11" outlineLevel="2">
      <c r="A23" s="23">
        <v>1000021</v>
      </c>
      <c r="B23" s="24">
        <v>38751</v>
      </c>
      <c r="C23" s="25">
        <v>107</v>
      </c>
      <c r="D23" s="26">
        <v>40308</v>
      </c>
      <c r="E23" s="27">
        <v>5</v>
      </c>
      <c r="F23" s="26">
        <v>5.99</v>
      </c>
      <c r="G23" s="26">
        <v>3549</v>
      </c>
      <c r="H23" s="28">
        <v>21258.51</v>
      </c>
      <c r="I23" s="26">
        <v>2125.85</v>
      </c>
      <c r="J23" s="26">
        <v>23384.36</v>
      </c>
      <c r="K23" s="29" t="s">
        <v>13</v>
      </c>
    </row>
    <row r="24" spans="1:11" outlineLevel="2">
      <c r="A24" s="30">
        <v>1000022</v>
      </c>
      <c r="B24" s="31">
        <v>38751</v>
      </c>
      <c r="C24" s="32">
        <v>105</v>
      </c>
      <c r="D24" s="33">
        <v>30608</v>
      </c>
      <c r="E24" s="34">
        <v>5</v>
      </c>
      <c r="F24" s="33">
        <v>5.99</v>
      </c>
      <c r="G24" s="33">
        <v>50</v>
      </c>
      <c r="H24" s="35">
        <v>299.5</v>
      </c>
      <c r="I24" s="33">
        <v>29.95</v>
      </c>
      <c r="J24" s="33">
        <v>329.45</v>
      </c>
      <c r="K24" s="36" t="s">
        <v>13</v>
      </c>
    </row>
    <row r="25" spans="1:11" outlineLevel="2">
      <c r="A25" s="23">
        <v>1000023</v>
      </c>
      <c r="B25" s="24">
        <v>38751</v>
      </c>
      <c r="C25" s="25">
        <v>112</v>
      </c>
      <c r="D25" s="26">
        <v>50008</v>
      </c>
      <c r="E25" s="27">
        <v>5</v>
      </c>
      <c r="F25" s="26">
        <v>5.99</v>
      </c>
      <c r="G25" s="26">
        <v>139</v>
      </c>
      <c r="H25" s="28">
        <v>832.61</v>
      </c>
      <c r="I25" s="26">
        <v>83.26</v>
      </c>
      <c r="J25" s="26">
        <v>915.87</v>
      </c>
      <c r="K25" s="29" t="s">
        <v>13</v>
      </c>
    </row>
    <row r="26" spans="1:11" outlineLevel="2">
      <c r="A26" s="17">
        <v>1000024</v>
      </c>
      <c r="B26" s="37">
        <v>38751</v>
      </c>
      <c r="C26" s="38">
        <v>102</v>
      </c>
      <c r="D26" s="18">
        <v>30704</v>
      </c>
      <c r="E26" s="39">
        <v>5</v>
      </c>
      <c r="F26" s="18">
        <v>5.99</v>
      </c>
      <c r="G26" s="18">
        <v>21</v>
      </c>
      <c r="H26" s="40">
        <v>125.79</v>
      </c>
      <c r="I26" s="18">
        <v>12.58</v>
      </c>
      <c r="J26" s="18">
        <v>138.37</v>
      </c>
      <c r="K26" s="19" t="s">
        <v>13</v>
      </c>
    </row>
    <row r="27" spans="1:11" outlineLevel="1">
      <c r="B27" s="44"/>
      <c r="C27" s="45"/>
      <c r="E27" s="46"/>
      <c r="H27" s="47">
        <f>SUBTOTAL(9,H18:H26)</f>
        <v>36359.299999999996</v>
      </c>
      <c r="I27">
        <f>SUBTOTAL(9,I18:I26)</f>
        <v>3635.9300000000003</v>
      </c>
      <c r="J27">
        <f>SUBTOTAL(9,J18:J26)</f>
        <v>39995.230000000003</v>
      </c>
      <c r="K27" s="48" t="s">
        <v>16</v>
      </c>
    </row>
    <row r="28" spans="1:11">
      <c r="B28" s="44"/>
      <c r="C28" s="45"/>
      <c r="E28" s="46"/>
      <c r="H28" s="47">
        <f>SUBTOTAL(9,H2:H26)</f>
        <v>83482.62999999999</v>
      </c>
      <c r="I28">
        <f>SUBTOTAL(9,I2:I26)</f>
        <v>8457.11</v>
      </c>
      <c r="J28">
        <f>SUBTOTAL(9,J2:J26)</f>
        <v>93082.799999999988</v>
      </c>
      <c r="K28" s="48" t="s">
        <v>14</v>
      </c>
    </row>
  </sheetData>
  <conditionalFormatting sqref="A26:K28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{79BD36E6-5832-4CD6-B24F-D8AEEE4F6DD7}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9BD36E6-5832-4CD6-B24F-D8AEEE4F6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A26:K28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12"/>
  <sheetViews>
    <sheetView workbookViewId="0">
      <selection activeCell="L3" sqref="L3"/>
    </sheetView>
  </sheetViews>
  <sheetFormatPr defaultRowHeight="14.25"/>
  <cols>
    <col min="1" max="1" width="9.75" customWidth="1"/>
    <col min="7" max="7" width="11.625" customWidth="1"/>
    <col min="8" max="8" width="10.25" customWidth="1"/>
    <col min="9" max="9" width="11.625" customWidth="1"/>
    <col min="11" max="11" width="13.375" bestFit="1" customWidth="1"/>
    <col min="12" max="14" width="12" bestFit="1" customWidth="1"/>
    <col min="15" max="15" width="11.875" bestFit="1" customWidth="1"/>
    <col min="16" max="16" width="5.125" bestFit="1" customWidth="1"/>
    <col min="17" max="17" width="7.625" bestFit="1" customWidth="1"/>
    <col min="18" max="18" width="4.375" bestFit="1" customWidth="1"/>
    <col min="19" max="19" width="7" bestFit="1" customWidth="1"/>
    <col min="20" max="20" width="8.125" bestFit="1" customWidth="1"/>
    <col min="21" max="21" width="11.25" bestFit="1" customWidth="1"/>
  </cols>
  <sheetData>
    <row r="1" spans="1:15">
      <c r="A1" s="51" t="s">
        <v>108</v>
      </c>
      <c r="B1" s="6" t="s">
        <v>24</v>
      </c>
      <c r="C1" s="6" t="s">
        <v>109</v>
      </c>
      <c r="D1" s="6" t="s">
        <v>110</v>
      </c>
      <c r="E1" s="6" t="s">
        <v>111</v>
      </c>
      <c r="F1" s="50" t="s">
        <v>121</v>
      </c>
      <c r="G1" s="50" t="s">
        <v>122</v>
      </c>
      <c r="H1" s="50" t="s">
        <v>123</v>
      </c>
      <c r="I1" s="50" t="s">
        <v>124</v>
      </c>
    </row>
    <row r="2" spans="1:15">
      <c r="A2" s="52">
        <v>1</v>
      </c>
      <c r="B2" s="3" t="s">
        <v>112</v>
      </c>
      <c r="C2" s="3">
        <f ca="1">RANDBETWEEN(1,100)</f>
        <v>31</v>
      </c>
      <c r="D2" s="3">
        <v>900</v>
      </c>
      <c r="E2" s="3">
        <v>100</v>
      </c>
      <c r="F2">
        <f ca="1">SUM(C2:E2)</f>
        <v>1031</v>
      </c>
      <c r="K2" s="1" t="s">
        <v>125</v>
      </c>
      <c r="L2" t="s">
        <v>126</v>
      </c>
      <c r="M2" t="s">
        <v>127</v>
      </c>
      <c r="N2" t="s">
        <v>128</v>
      </c>
      <c r="O2" t="s">
        <v>129</v>
      </c>
    </row>
    <row r="3" spans="1:15">
      <c r="A3" s="52">
        <v>2</v>
      </c>
      <c r="B3" s="3" t="s">
        <v>113</v>
      </c>
      <c r="C3" s="3">
        <f t="shared" ref="C3:C11" ca="1" si="0">RANDBETWEEN(1,100)</f>
        <v>63</v>
      </c>
      <c r="D3" s="3">
        <f t="shared" ref="D3:D11" ca="1" si="1">C3+10</f>
        <v>73</v>
      </c>
      <c r="E3" s="3">
        <f>E2+100</f>
        <v>200</v>
      </c>
      <c r="F3">
        <f t="shared" ref="F3:F11" ca="1" si="2">SUM(C3:E3)</f>
        <v>336</v>
      </c>
      <c r="K3" s="45" t="s">
        <v>115</v>
      </c>
      <c r="L3">
        <v>28</v>
      </c>
      <c r="M3">
        <v>38</v>
      </c>
      <c r="N3">
        <v>400</v>
      </c>
      <c r="O3">
        <v>466</v>
      </c>
    </row>
    <row r="4" spans="1:15">
      <c r="A4" s="52">
        <v>3</v>
      </c>
      <c r="B4" s="3" t="s">
        <v>114</v>
      </c>
      <c r="C4" s="3">
        <f t="shared" ca="1" si="0"/>
        <v>71</v>
      </c>
      <c r="D4" s="3">
        <f t="shared" ca="1" si="1"/>
        <v>81</v>
      </c>
      <c r="E4" s="3">
        <f t="shared" ref="E4:E11" si="3">E3+100</f>
        <v>300</v>
      </c>
      <c r="F4">
        <f t="shared" ca="1" si="2"/>
        <v>452</v>
      </c>
      <c r="K4" s="45" t="s">
        <v>118</v>
      </c>
      <c r="L4">
        <v>46</v>
      </c>
      <c r="M4">
        <v>56</v>
      </c>
      <c r="N4">
        <v>700</v>
      </c>
      <c r="O4">
        <v>802</v>
      </c>
    </row>
    <row r="5" spans="1:15">
      <c r="A5" s="52">
        <v>4</v>
      </c>
      <c r="B5" s="3" t="s">
        <v>115</v>
      </c>
      <c r="C5" s="3">
        <f t="shared" ca="1" si="0"/>
        <v>63</v>
      </c>
      <c r="D5" s="3">
        <f t="shared" ca="1" si="1"/>
        <v>73</v>
      </c>
      <c r="E5" s="3">
        <f t="shared" si="3"/>
        <v>400</v>
      </c>
      <c r="F5">
        <f t="shared" ca="1" si="2"/>
        <v>536</v>
      </c>
      <c r="K5" s="45" t="s">
        <v>119</v>
      </c>
      <c r="L5">
        <v>60</v>
      </c>
      <c r="M5">
        <v>70</v>
      </c>
      <c r="N5">
        <v>800</v>
      </c>
      <c r="O5">
        <v>930</v>
      </c>
    </row>
    <row r="6" spans="1:15">
      <c r="A6" s="52">
        <v>5</v>
      </c>
      <c r="B6" s="3" t="s">
        <v>116</v>
      </c>
      <c r="C6" s="3">
        <f t="shared" ca="1" si="0"/>
        <v>27</v>
      </c>
      <c r="D6" s="3">
        <f t="shared" ca="1" si="1"/>
        <v>37</v>
      </c>
      <c r="E6" s="3">
        <f t="shared" si="3"/>
        <v>500</v>
      </c>
      <c r="F6">
        <f t="shared" ca="1" si="2"/>
        <v>564</v>
      </c>
      <c r="K6" s="45" t="s">
        <v>112</v>
      </c>
      <c r="L6">
        <v>67</v>
      </c>
      <c r="M6">
        <v>900</v>
      </c>
      <c r="N6">
        <v>100</v>
      </c>
      <c r="O6">
        <v>1067</v>
      </c>
    </row>
    <row r="7" spans="1:15">
      <c r="A7" s="52">
        <v>6</v>
      </c>
      <c r="B7" s="3" t="s">
        <v>117</v>
      </c>
      <c r="C7" s="3">
        <f t="shared" ca="1" si="0"/>
        <v>9</v>
      </c>
      <c r="D7" s="3">
        <f t="shared" ca="1" si="1"/>
        <v>19</v>
      </c>
      <c r="E7" s="3">
        <f t="shared" si="3"/>
        <v>600</v>
      </c>
      <c r="F7">
        <f t="shared" ca="1" si="2"/>
        <v>628</v>
      </c>
      <c r="K7" s="45" t="s">
        <v>116</v>
      </c>
      <c r="L7">
        <v>53</v>
      </c>
      <c r="M7">
        <v>63</v>
      </c>
      <c r="N7">
        <v>500</v>
      </c>
      <c r="O7">
        <v>616</v>
      </c>
    </row>
    <row r="8" spans="1:15">
      <c r="A8" s="52">
        <v>7</v>
      </c>
      <c r="B8" s="3" t="s">
        <v>118</v>
      </c>
      <c r="C8" s="3">
        <f t="shared" ca="1" si="0"/>
        <v>60</v>
      </c>
      <c r="D8" s="3">
        <f t="shared" ca="1" si="1"/>
        <v>70</v>
      </c>
      <c r="E8" s="3">
        <f t="shared" si="3"/>
        <v>700</v>
      </c>
      <c r="F8">
        <f t="shared" ca="1" si="2"/>
        <v>830</v>
      </c>
      <c r="K8" s="45" t="s">
        <v>114</v>
      </c>
      <c r="L8">
        <v>15</v>
      </c>
      <c r="M8">
        <v>25</v>
      </c>
      <c r="N8">
        <v>300</v>
      </c>
      <c r="O8">
        <v>340</v>
      </c>
    </row>
    <row r="9" spans="1:15">
      <c r="A9" s="52">
        <v>8</v>
      </c>
      <c r="B9" s="3" t="s">
        <v>119</v>
      </c>
      <c r="C9" s="3">
        <f t="shared" ca="1" si="0"/>
        <v>48</v>
      </c>
      <c r="D9" s="3">
        <f t="shared" ca="1" si="1"/>
        <v>58</v>
      </c>
      <c r="E9" s="3">
        <f t="shared" si="3"/>
        <v>800</v>
      </c>
      <c r="F9">
        <f t="shared" ca="1" si="2"/>
        <v>906</v>
      </c>
      <c r="K9" s="45" t="s">
        <v>117</v>
      </c>
      <c r="L9">
        <v>94</v>
      </c>
      <c r="M9">
        <v>104</v>
      </c>
      <c r="N9">
        <v>600</v>
      </c>
      <c r="O9">
        <v>798</v>
      </c>
    </row>
    <row r="10" spans="1:15">
      <c r="A10" s="52">
        <v>9</v>
      </c>
      <c r="B10" s="3" t="s">
        <v>120</v>
      </c>
      <c r="C10" s="3">
        <f t="shared" ca="1" si="0"/>
        <v>61</v>
      </c>
      <c r="D10" s="3">
        <f t="shared" ca="1" si="1"/>
        <v>71</v>
      </c>
      <c r="E10" s="3">
        <f t="shared" si="3"/>
        <v>900</v>
      </c>
      <c r="F10">
        <f t="shared" ca="1" si="2"/>
        <v>1032</v>
      </c>
      <c r="K10" s="45" t="s">
        <v>120</v>
      </c>
      <c r="L10">
        <v>68</v>
      </c>
      <c r="M10">
        <v>88</v>
      </c>
      <c r="N10">
        <v>1900</v>
      </c>
      <c r="O10">
        <v>2056</v>
      </c>
    </row>
    <row r="11" spans="1:15">
      <c r="A11" s="52">
        <v>10</v>
      </c>
      <c r="B11" s="3" t="s">
        <v>120</v>
      </c>
      <c r="C11" s="3">
        <f t="shared" ca="1" si="0"/>
        <v>79</v>
      </c>
      <c r="D11" s="3">
        <f t="shared" ca="1" si="1"/>
        <v>89</v>
      </c>
      <c r="E11" s="3">
        <f t="shared" si="3"/>
        <v>1000</v>
      </c>
      <c r="F11">
        <f t="shared" ca="1" si="2"/>
        <v>1168</v>
      </c>
      <c r="K11" s="45" t="s">
        <v>113</v>
      </c>
      <c r="L11">
        <v>86</v>
      </c>
      <c r="M11">
        <v>96</v>
      </c>
      <c r="N11">
        <v>200</v>
      </c>
      <c r="O11">
        <v>382</v>
      </c>
    </row>
    <row r="12" spans="1:15">
      <c r="K12" s="45" t="s">
        <v>14</v>
      </c>
      <c r="L12">
        <v>517</v>
      </c>
      <c r="M12">
        <v>1440</v>
      </c>
      <c r="N12">
        <v>5500</v>
      </c>
      <c r="O12">
        <v>7457</v>
      </c>
    </row>
  </sheetData>
  <conditionalFormatting sqref="E1:I1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{FBC5F4FB-AF85-4A1A-B34A-F320F71C8EAE}</x14:id>
        </ext>
      </extLst>
    </cfRule>
  </conditionalFormatting>
  <pageMargins left="0.7" right="0.7" top="0.75" bottom="0.75" header="0.3" footer="0.3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C5F4FB-AF85-4A1A-B34A-F320F71C8EAE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E1:I1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theme="4" tint="-0.249977111117893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'conditional formatting'!C2:E2</xm:f>
              <xm:sqref>G2</xm:sqref>
            </x14:sparkline>
            <x14:sparkline>
              <xm:f>'conditional formatting'!C3:E3</xm:f>
              <xm:sqref>G3</xm:sqref>
            </x14:sparkline>
            <x14:sparkline>
              <xm:f>'conditional formatting'!C4:E4</xm:f>
              <xm:sqref>G4</xm:sqref>
            </x14:sparkline>
            <x14:sparkline>
              <xm:f>'conditional formatting'!C5:E5</xm:f>
              <xm:sqref>G5</xm:sqref>
            </x14:sparkline>
            <x14:sparkline>
              <xm:f>'conditional formatting'!C6:E6</xm:f>
              <xm:sqref>G6</xm:sqref>
            </x14:sparkline>
            <x14:sparkline>
              <xm:f>'conditional formatting'!C7:E7</xm:f>
              <xm:sqref>G7</xm:sqref>
            </x14:sparkline>
            <x14:sparkline>
              <xm:f>'conditional formatting'!C8:E8</xm:f>
              <xm:sqref>G8</xm:sqref>
            </x14:sparkline>
            <x14:sparkline>
              <xm:f>'conditional formatting'!C9:E9</xm:f>
              <xm:sqref>G9</xm:sqref>
            </x14:sparkline>
            <x14:sparkline>
              <xm:f>'conditional formatting'!C10:E10</xm:f>
              <xm:sqref>G10</xm:sqref>
            </x14:sparkline>
            <x14:sparkline>
              <xm:f>'conditional formatting'!C11:E11</xm:f>
              <xm:sqref>G11</xm:sqref>
            </x14:sparkline>
          </x14:sparklines>
        </x14:sparklineGroup>
        <x14:sparklineGroup type="column"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'conditional formatting'!C2:E2</xm:f>
              <xm:sqref>H2</xm:sqref>
            </x14:sparkline>
            <x14:sparkline>
              <xm:f>'conditional formatting'!C3:E3</xm:f>
              <xm:sqref>H3</xm:sqref>
            </x14:sparkline>
            <x14:sparkline>
              <xm:f>'conditional formatting'!C4:E4</xm:f>
              <xm:sqref>H4</xm:sqref>
            </x14:sparkline>
            <x14:sparkline>
              <xm:f>'conditional formatting'!C5:E5</xm:f>
              <xm:sqref>H5</xm:sqref>
            </x14:sparkline>
            <x14:sparkline>
              <xm:f>'conditional formatting'!C6:E6</xm:f>
              <xm:sqref>H6</xm:sqref>
            </x14:sparkline>
            <x14:sparkline>
              <xm:f>'conditional formatting'!C7:E7</xm:f>
              <xm:sqref>H7</xm:sqref>
            </x14:sparkline>
            <x14:sparkline>
              <xm:f>'conditional formatting'!C8:E8</xm:f>
              <xm:sqref>H8</xm:sqref>
            </x14:sparkline>
            <x14:sparkline>
              <xm:f>'conditional formatting'!C9:E9</xm:f>
              <xm:sqref>H9</xm:sqref>
            </x14:sparkline>
            <x14:sparkline>
              <xm:f>'conditional formatting'!C10:E10</xm:f>
              <xm:sqref>H10</xm:sqref>
            </x14:sparkline>
            <x14:sparkline>
              <xm:f>'conditional formatting'!C11:E11</xm:f>
              <xm:sqref>H11</xm:sqref>
            </x14:sparkline>
          </x14:sparklines>
        </x14:sparklineGroup>
        <x14:sparklineGroup type="stacked" displayEmptyCellsAs="gap" negative="1">
          <x14:colorSeries theme="5" tint="0.39997558519241921"/>
          <x14:colorNegative theme="0" tint="-0.499984740745262"/>
          <x14:colorAxis rgb="FF000000"/>
          <x14:colorMarkers theme="5" tint="0.79998168889431442"/>
          <x14:colorFirst theme="5" tint="-0.249977111117893"/>
          <x14:colorLast theme="5" tint="-0.249977111117893"/>
          <x14:colorHigh theme="5" tint="-0.499984740745262"/>
          <x14:colorLow theme="5" tint="-0.499984740745262"/>
          <x14:sparklines>
            <x14:sparkline>
              <xm:f>'conditional formatting'!C2:F2</xm:f>
              <xm:sqref>I2</xm:sqref>
            </x14:sparkline>
            <x14:sparkline>
              <xm:f>'conditional formatting'!C3:F3</xm:f>
              <xm:sqref>I3</xm:sqref>
            </x14:sparkline>
            <x14:sparkline>
              <xm:f>'conditional formatting'!C4:F4</xm:f>
              <xm:sqref>I4</xm:sqref>
            </x14:sparkline>
            <x14:sparkline>
              <xm:f>'conditional formatting'!C5:F5</xm:f>
              <xm:sqref>I5</xm:sqref>
            </x14:sparkline>
            <x14:sparkline>
              <xm:f>'conditional formatting'!C6:F6</xm:f>
              <xm:sqref>I6</xm:sqref>
            </x14:sparkline>
            <x14:sparkline>
              <xm:f>'conditional formatting'!C7:F7</xm:f>
              <xm:sqref>I7</xm:sqref>
            </x14:sparkline>
            <x14:sparkline>
              <xm:f>'conditional formatting'!C8:F8</xm:f>
              <xm:sqref>I8</xm:sqref>
            </x14:sparkline>
            <x14:sparkline>
              <xm:f>'conditional formatting'!C9:F9</xm:f>
              <xm:sqref>I9</xm:sqref>
            </x14:sparkline>
            <x14:sparkline>
              <xm:f>'conditional formatting'!C10:F10</xm:f>
              <xm:sqref>I10</xm:sqref>
            </x14:sparkline>
            <x14:sparkline>
              <xm:f>'conditional formatting'!C11:F11</xm:f>
              <xm:sqref>I11</xm:sqref>
            </x14:sparkline>
          </x14:sparklines>
        </x14:sparklineGroup>
      </x14:sparklineGroup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2"/>
  <sheetViews>
    <sheetView workbookViewId="0">
      <selection activeCell="A7" sqref="A7"/>
    </sheetView>
  </sheetViews>
  <sheetFormatPr defaultRowHeight="14.25"/>
  <cols>
    <col min="1" max="1" width="9.25" bestFit="1" customWidth="1"/>
    <col min="2" max="2" width="14.75" bestFit="1" customWidth="1"/>
  </cols>
  <sheetData>
    <row r="1" spans="1:2">
      <c r="A1" s="3" t="s">
        <v>24</v>
      </c>
      <c r="B1" s="3" t="s">
        <v>132</v>
      </c>
    </row>
    <row r="2" spans="1:2">
      <c r="A2" s="3" t="s">
        <v>131</v>
      </c>
      <c r="B2" s="3" t="str">
        <f>SUBSTITUTE(A2,"Cost","Sales",1)</f>
        <v>Sales data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pivote tablle</vt:lpstr>
      <vt:lpstr>Pivote chart</vt:lpstr>
      <vt:lpstr>Pivot Table Practical 1 also su</vt:lpstr>
      <vt:lpstr>Double vlookup</vt:lpstr>
      <vt:lpstr>Sheet5</vt:lpstr>
      <vt:lpstr>Sheet4</vt:lpstr>
      <vt:lpstr>Financial Function</vt:lpstr>
      <vt:lpstr>SLN FUNCTION</vt:lpstr>
      <vt:lpstr>Pivote table options</vt:lpstr>
      <vt:lpstr>subtotal function</vt:lpstr>
      <vt:lpstr>conditional formatting</vt:lpstr>
      <vt:lpstr>Substitute function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Rushda Shabbir</dc:creator>
  <cp:lastModifiedBy>ww</cp:lastModifiedBy>
  <cp:lastPrinted>2024-08-03T12:28:50Z</cp:lastPrinted>
  <dcterms:created xsi:type="dcterms:W3CDTF">2024-08-02T12:00:46Z</dcterms:created>
  <dcterms:modified xsi:type="dcterms:W3CDTF">2024-08-06T05:21:00Z</dcterms:modified>
</cp:coreProperties>
</file>